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3D Objects\EFM_EXIL\"/>
    </mc:Choice>
  </mc:AlternateContent>
  <xr:revisionPtr revIDLastSave="0" documentId="8_{5D4EB54B-2B33-4F13-9677-F140CEE0B73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Backend (Traitement)" sheetId="2" r:id="rId1"/>
    <sheet name="frontend (Dashboard)" sheetId="10" r:id="rId2"/>
    <sheet name="Assurances_Auto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8" i="1" l="1"/>
  <c r="Z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P3" i="1"/>
  <c r="P4" i="1"/>
  <c r="P5" i="1"/>
  <c r="Q5" i="1" s="1"/>
  <c r="P6" i="1"/>
  <c r="Q6" i="1" s="1"/>
  <c r="P7" i="1"/>
  <c r="P8" i="1"/>
  <c r="P9" i="1"/>
  <c r="Q9" i="1" s="1"/>
  <c r="P10" i="1"/>
  <c r="Q10" i="1" s="1"/>
  <c r="P11" i="1"/>
  <c r="P12" i="1"/>
  <c r="P13" i="1"/>
  <c r="Q13" i="1" s="1"/>
  <c r="P14" i="1"/>
  <c r="Q14" i="1" s="1"/>
  <c r="P15" i="1"/>
  <c r="P16" i="1"/>
  <c r="P17" i="1"/>
  <c r="Q17" i="1" s="1"/>
  <c r="P18" i="1"/>
  <c r="Q18" i="1" s="1"/>
  <c r="P19" i="1"/>
  <c r="P20" i="1"/>
  <c r="P21" i="1"/>
  <c r="Q21" i="1" s="1"/>
  <c r="P22" i="1"/>
  <c r="Q22" i="1" s="1"/>
  <c r="P23" i="1"/>
  <c r="P24" i="1"/>
  <c r="P25" i="1"/>
  <c r="Q25" i="1" s="1"/>
  <c r="P26" i="1"/>
  <c r="Q26" i="1" s="1"/>
  <c r="P27" i="1"/>
  <c r="P28" i="1"/>
  <c r="P29" i="1"/>
  <c r="Q29" i="1" s="1"/>
  <c r="P30" i="1"/>
  <c r="Q30" i="1" s="1"/>
  <c r="P31" i="1"/>
  <c r="P32" i="1"/>
  <c r="P33" i="1"/>
  <c r="Q33" i="1" s="1"/>
  <c r="P34" i="1"/>
  <c r="Q34" i="1" s="1"/>
  <c r="P35" i="1"/>
  <c r="P36" i="1"/>
  <c r="P37" i="1"/>
  <c r="Q37" i="1" s="1"/>
  <c r="P38" i="1"/>
  <c r="Q38" i="1" s="1"/>
  <c r="P39" i="1"/>
  <c r="P40" i="1"/>
  <c r="P41" i="1"/>
  <c r="Q41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P2" i="1"/>
  <c r="Q2" i="1" s="1"/>
  <c r="O2" i="1"/>
  <c r="S2" i="1"/>
  <c r="R2" i="1"/>
  <c r="Q3" i="1"/>
  <c r="Q4" i="1"/>
  <c r="Q7" i="1"/>
  <c r="Q8" i="1"/>
  <c r="Q11" i="1"/>
  <c r="Q12" i="1"/>
  <c r="Q15" i="1"/>
  <c r="Q16" i="1"/>
  <c r="Q19" i="1"/>
  <c r="Q20" i="1"/>
  <c r="Q23" i="1"/>
  <c r="Q24" i="1"/>
  <c r="Q27" i="1"/>
  <c r="Q28" i="1"/>
  <c r="Q31" i="1"/>
  <c r="Q32" i="1"/>
  <c r="Q35" i="1"/>
  <c r="Q36" i="1"/>
  <c r="Q39" i="1"/>
  <c r="Q4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A1" i="10"/>
  <c r="A1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<sst xmlns="http://schemas.openxmlformats.org/spreadsheetml/2006/main" count="414" uniqueCount="170">
  <si>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</si>
  <si>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</si>
  <si>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</si>
  <si>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</si>
  <si>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</si>
  <si>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</si>
  <si>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</si>
  <si>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</si>
  <si>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</si>
  <si>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</si>
  <si>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</si>
  <si>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</si>
  <si>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</si>
  <si>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</si>
  <si>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</si>
  <si>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</si>
  <si>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</si>
  <si>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</si>
  <si>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</si>
  <si>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</si>
  <si>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</si>
  <si>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</si>
  <si>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</si>
  <si>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</si>
  <si>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</si>
  <si>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</si>
  <si>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</si>
  <si>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</si>
  <si>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</si>
  <si>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</si>
  <si>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</si>
  <si>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</si>
  <si>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</si>
  <si>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</si>
  <si>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</si>
  <si>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</si>
  <si>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</si>
  <si>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</si>
  <si>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</si>
  <si>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</si>
  <si>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</si>
  <si>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</si>
  <si>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</si>
  <si>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</si>
  <si>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</si>
  <si>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</si>
  <si>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</si>
  <si>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</si>
  <si>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</si>
  <si>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</si>
  <si>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</si>
  <si>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</si>
  <si>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</si>
  <si>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</si>
  <si>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</si>
  <si>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</si>
  <si>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</si>
  <si>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</si>
  <si>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</si>
  <si>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</si>
  <si>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</si>
  <si>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</si>
  <si>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</si>
  <si>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</si>
  <si>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</si>
  <si>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</si>
  <si>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</si>
  <si>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</si>
  <si>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</si>
  <si>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</si>
  <si>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</si>
  <si>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</si>
  <si>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</si>
  <si>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</si>
  <si>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</si>
  <si>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</si>
  <si>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</si>
  <si>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</si>
  <si>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</si>
  <si>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</si>
  <si>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</si>
  <si>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</si>
  <si>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</si>
  <si>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</si>
  <si>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</si>
  <si>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</si>
  <si>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</si>
  <si>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</si>
  <si>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</si>
  <si>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</si>
  <si>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</si>
  <si>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</si>
  <si>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</si>
  <si>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</si>
  <si>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</si>
  <si>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</si>
  <si>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</si>
  <si>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</si>
  <si>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</si>
  <si>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</si>
  <si>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</si>
  <si>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</si>
  <si>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</si>
  <si>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</si>
  <si>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</si>
  <si>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</si>
  <si>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</si>
  <si>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</si>
  <si>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</si>
  <si>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</si>
  <si>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</si>
  <si>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</si>
  <si>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</si>
  <si>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</si>
  <si>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</si>
  <si>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</si>
  <si>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</si>
  <si>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</si>
  <si>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</si>
  <si>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</si>
  <si>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</si>
  <si>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</si>
  <si>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</si>
  <si>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</si>
  <si>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</si>
  <si>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</si>
  <si>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</si>
  <si>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</si>
  <si>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</si>
  <si>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</si>
  <si>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</si>
  <si>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</si>
  <si>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</si>
  <si>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</si>
  <si>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</si>
  <si>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</si>
  <si>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</si>
  <si>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</si>
  <si>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</si>
  <si>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</si>
  <si>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</si>
  <si>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</si>
  <si>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</si>
  <si>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</si>
  <si>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</si>
  <si>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</si>
  <si>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</si>
  <si>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</si>
  <si>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</si>
  <si>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</si>
  <si>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</si>
  <si>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</si>
  <si>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</si>
  <si>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</si>
  <si>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</si>
  <si>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Nombre de contrats</t>
  </si>
  <si>
    <t>Nombre de véhicules</t>
  </si>
  <si>
    <t>ring_prime</t>
  </si>
  <si>
    <t>ID Client</t>
  </si>
  <si>
    <t xml:space="preserve">	Nom Client</t>
  </si>
  <si>
    <t>Prime Totale</t>
  </si>
  <si>
    <t>Total général</t>
  </si>
  <si>
    <t>Somme de Prime_Totale</t>
  </si>
  <si>
    <t>VIP</t>
  </si>
  <si>
    <t>Premium</t>
  </si>
  <si>
    <t>Étiquettes de lignes</t>
  </si>
  <si>
    <t>Somme de ID_Client</t>
  </si>
  <si>
    <t/>
  </si>
  <si>
    <t>Nombre de ID_Client</t>
  </si>
  <si>
    <t>janv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</si>
</sst>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0" fontId="2" fillId="0" borderId="0" xfId="0" applyFont="1" applyFill="1"/>
    <xf numFmtId="0" fontId="0" fillId="0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 (Traitement)!Tableau croisé dynamique1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'Backend (Traitement)'!$B$3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E6-483F-9C4C-4E29A84AB7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E6-483F-9C4C-4E29A84AB7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E6-483F-9C4C-4E29A84AB7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'Backend (Traitement)'!$A$4:$A$7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'Backend (Traitement)'!$B$4:$B$7</c:f>
              <c:numCache>
                <c:formatCode>General</c:formatCode>
                <c:ptCount val="3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E6-483F-9C4C-4E29A84AB7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 (Traitement)!Tableau croisé dynamique3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'Backend (Traitement)'!$B$8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'Backend (Traitement)'!$A$9:$A$15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'Backend (Traitement)'!$B$9:$B$15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F-4512-BBC3-A46FEA2C1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2697360"/>
        <c:axId val="512703592"/>
      </c:barChart>
      <c:catAx>
        <c:axId val="5126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703592"/>
        <c:crosses val="autoZero"/>
        <c:auto val="1"/>
        <c:lblAlgn val="ctr"/>
        <c:lblOffset val="100"/>
        <c:noMultiLvlLbl val="0"/>
      </c:catAx>
      <c:valAx>
        <c:axId val="51270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6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 (Traitement)!Tableau croisé dynamique4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'Backend (Traitement)'!$B$18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'Backend (Traitement)'!$A$19:$A$22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'Backend (Traitement)'!$B$19:$B$22</c:f>
              <c:numCache>
                <c:formatCode>General</c:formatCode>
                <c:ptCount val="3"/>
                <c:pt idx="0">
                  <c:v>152100</c:v>
                </c:pt>
                <c:pt idx="1">
                  <c:v>144270</c:v>
                </c:pt>
                <c:pt idx="2">
                  <c:v>95550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7-4059-B90A-A1DCB7C66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246704"/>
        <c:axId val="508236864"/>
      </c:lineChart>
      <c:catAx>
        <c:axId val="5082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236864"/>
        <c:crosses val="autoZero"/>
        <c:auto val="1"/>
        <c:lblAlgn val="ctr"/>
        <c:lblOffset val="100"/>
        <c:noMultiLvlLbl val="0"/>
      </c:catAx>
      <c:valAx>
        <c:axId val="5082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2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 (Traitement)!Tableau croisé dynamique6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6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'Backend (Traitement)'!$E$3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50-4250-86A7-578693675A7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50-4250-86A7-578693675A78}"/>
              </c:ext>
            </c:extLst>
          </c:dPt>
          <c:cat>
            <c:strRef>
              <c:f>'Backend (Traitement)'!$D$4:$D$6</c:f>
              <c:strCache>
                <c:ptCount val="2"/>
                <c:pt idx="0">
                  <c:v>Premium</c:v>
                </c:pt>
                <c:pt idx="1">
                  <c:v>VIP</c:v>
                </c:pt>
              </c:strCache>
            </c:strRef>
          </c:cat>
          <c:val>
            <c:numRef>
              <c:f>'Backend (Traitement)'!$E$4:$E$6</c:f>
              <c:numCache>
                <c:formatCode>General</c:formatCode>
                <c:ptCount val="2"/>
                <c:pt idx="0">
                  <c:v>3</c:v>
                </c:pt>
                <c:pt idx="1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0-4250-86A7-578693675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 (Traitement)!Tableau croisé dynamique7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8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1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2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'Backend (Traitement)'!$E$9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91-450E-B6D5-AD35756935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91-450E-B6D5-AD35756935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91-450E-B6D5-AD35756935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91-450E-B6D5-AD35756935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91-450E-B6D5-AD35756935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A91-450E-B6D5-AD3575693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A91-450E-B6D5-AD3575693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A91-450E-B6D5-AD3575693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A91-450E-B6D5-AD3575693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A91-450E-B6D5-AD3575693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A91-450E-B6D5-AD3575693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A91-450E-B6D5-AD3575693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A91-450E-B6D5-AD3575693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A91-450E-B6D5-AD3575693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A91-450E-B6D5-AD3575693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A91-450E-B6D5-AD3575693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A91-450E-B6D5-AD3575693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A91-450E-B6D5-AD3575693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A91-450E-B6D5-AD357569356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A91-450E-B6D5-AD357569356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A91-450E-B6D5-AD357569356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A91-450E-B6D5-AD357569356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2A91-450E-B6D5-AD357569356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2A91-450E-B6D5-AD357569356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2A91-450E-B6D5-AD357569356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2A91-450E-B6D5-AD357569356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2A91-450E-B6D5-AD357569356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2A91-450E-B6D5-AD357569356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2A91-450E-B6D5-AD357569356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2A91-450E-B6D5-AD357569356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2A91-450E-B6D5-AD357569356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2A91-450E-B6D5-AD357569356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2A91-450E-B6D5-AD357569356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2A91-450E-B6D5-AD357569356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2A91-450E-B6D5-AD357569356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2A91-450E-B6D5-AD357569356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2A91-450E-B6D5-AD357569356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2A91-450E-B6D5-AD357569356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2A91-450E-B6D5-AD357569356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2A91-450E-B6D5-AD35756935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'Backend (Traitement)'!$D$10:$D$88</c:f>
              <c:multiLvlStrCache>
                <c:ptCount val="39"/>
                <c:lvl>
                  <c:pt idx="0">
                    <c:v>Fatima</c:v>
                  </c:pt>
                  <c:pt idx="1">
                    <c:v>Hassan</c:v>
                  </c:pt>
                  <c:pt idx="2">
                    <c:v>Soukaina</c:v>
                  </c:pt>
                  <c:pt idx="3">
                    <c:v>Hamza</c:v>
                  </c:pt>
                  <c:pt idx="4">
                    <c:v>Yassir</c:v>
                  </c:pt>
                  <c:pt idx="5">
                    <c:v>Ahmed</c:v>
                  </c:pt>
                  <c:pt idx="6">
                    <c:v>Adil</c:v>
                  </c:pt>
                  <c:pt idx="7">
                    <c:v>Samir</c:v>
                  </c:pt>
                  <c:pt idx="8">
                    <c:v>Omar</c:v>
                  </c:pt>
                  <c:pt idx="9">
                    <c:v>Ayoub</c:v>
                  </c:pt>
                  <c:pt idx="10">
                    <c:v>Ikram</c:v>
                  </c:pt>
                  <c:pt idx="11">
                    <c:v>Amina</c:v>
                  </c:pt>
                  <c:pt idx="12">
                    <c:v>Mohamed</c:v>
                  </c:pt>
                  <c:pt idx="13">
                    <c:v>Youssef</c:v>
                  </c:pt>
                  <c:pt idx="14">
                    <c:v>Imane</c:v>
                  </c:pt>
                  <c:pt idx="15">
                    <c:v>Said</c:v>
                  </c:pt>
                  <c:pt idx="16">
                    <c:v>Salma</c:v>
                  </c:pt>
                  <c:pt idx="17">
                    <c:v>Meriem</c:v>
                  </c:pt>
                  <c:pt idx="18">
                    <c:v>Karim</c:v>
                  </c:pt>
                  <c:pt idx="19">
                    <c:v>Jamal</c:v>
                  </c:pt>
                  <c:pt idx="20">
                    <c:v>Abdelkader</c:v>
                  </c:pt>
                  <c:pt idx="21">
                    <c:v>Mehdi</c:v>
                  </c:pt>
                  <c:pt idx="22">
                    <c:v>Latifa</c:v>
                  </c:pt>
                  <c:pt idx="23">
                    <c:v>Reda</c:v>
                  </c:pt>
                  <c:pt idx="24">
                    <c:v>Yassine</c:v>
                  </c:pt>
                  <c:pt idx="25">
                    <c:v>Ilham</c:v>
                  </c:pt>
                  <c:pt idx="26">
                    <c:v>Lina</c:v>
                  </c:pt>
                  <c:pt idx="27">
                    <c:v>Sara</c:v>
                  </c:pt>
                  <c:pt idx="28">
                    <c:v>Rachid</c:v>
                  </c:pt>
                  <c:pt idx="29">
                    <c:v>Anas</c:v>
                  </c:pt>
                  <c:pt idx="30">
                    <c:v>Malika</c:v>
                  </c:pt>
                  <c:pt idx="31">
                    <c:v>Nour</c:v>
                  </c:pt>
                  <c:pt idx="32">
                    <c:v>Siham</c:v>
                  </c:pt>
                  <c:pt idx="33">
                    <c:v>Hanane</c:v>
                  </c:pt>
                  <c:pt idx="34">
                    <c:v>Abdelilah</c:v>
                  </c:pt>
                  <c:pt idx="35">
                    <c:v>Younes</c:v>
                  </c:pt>
                  <c:pt idx="36">
                    <c:v>Khadija</c:v>
                  </c:pt>
                  <c:pt idx="37">
                    <c:v>Rania</c:v>
                  </c:pt>
                  <c:pt idx="38">
                    <c:v>Nadia</c:v>
                  </c:pt>
                </c:lvl>
                <c:lvl>
                  <c:pt idx="0">
                    <c:v>Ait Lahcen</c:v>
                  </c:pt>
                  <c:pt idx="1">
                    <c:v>Alaoui</c:v>
                  </c:pt>
                  <c:pt idx="2">
                    <c:v>Amine</c:v>
                  </c:pt>
                  <c:pt idx="3">
                    <c:v>Azizi</c:v>
                  </c:pt>
                  <c:pt idx="4">
                    <c:v>Belaid</c:v>
                  </c:pt>
                  <c:pt idx="5">
                    <c:v>Benali</c:v>
                  </c:pt>
                  <c:pt idx="6">
                    <c:v>Benchekroun</c:v>
                  </c:pt>
                  <c:pt idx="7">
                    <c:v>Benkirane</c:v>
                  </c:pt>
                  <c:pt idx="8">
                    <c:v>Bennani</c:v>
                  </c:pt>
                  <c:pt idx="9">
                    <c:v>Berrada</c:v>
                  </c:pt>
                  <c:pt idx="10">
                    <c:v>Bounou</c:v>
                  </c:pt>
                  <c:pt idx="11">
                    <c:v>Bouzidi</c:v>
                  </c:pt>
                  <c:pt idx="12">
                    <c:v>Chraibi</c:v>
                  </c:pt>
                  <c:pt idx="13">
                    <c:v>El Amrani</c:v>
                  </c:pt>
                  <c:pt idx="14">
                    <c:v>El Fassi</c:v>
                  </c:pt>
                  <c:pt idx="15">
                    <c:v>El Hachimi</c:v>
                  </c:pt>
                  <c:pt idx="16">
                    <c:v>El Idrissi</c:v>
                  </c:pt>
                  <c:pt idx="17">
                    <c:v>El Khatib</c:v>
                  </c:pt>
                  <c:pt idx="18">
                    <c:v>El Mansouri</c:v>
                  </c:pt>
                  <c:pt idx="19">
                    <c:v>El Mouden</c:v>
                  </c:pt>
                  <c:pt idx="20">
                    <c:v>Fadili</c:v>
                  </c:pt>
                  <c:pt idx="21">
                    <c:v>Ghazali</c:v>
                  </c:pt>
                  <c:pt idx="22">
                    <c:v>Haddad</c:v>
                  </c:pt>
                  <c:pt idx="23">
                    <c:v>Hami</c:v>
                  </c:pt>
                  <c:pt idx="24">
                    <c:v>Kabbaj</c:v>
                  </c:pt>
                  <c:pt idx="25">
                    <c:v>Karrouchi</c:v>
                  </c:pt>
                  <c:pt idx="26">
                    <c:v>Kouhen</c:v>
                  </c:pt>
                  <c:pt idx="27">
                    <c:v>Lahlou</c:v>
                  </c:pt>
                  <c:pt idx="28">
                    <c:v>Mouline</c:v>
                  </c:pt>
                  <c:pt idx="29">
                    <c:v>Ouahbi</c:v>
                  </c:pt>
                  <c:pt idx="30">
                    <c:v>Ouhmid</c:v>
                  </c:pt>
                  <c:pt idx="31">
                    <c:v>Raiss</c:v>
                  </c:pt>
                  <c:pt idx="32">
                    <c:v>Raji</c:v>
                  </c:pt>
                  <c:pt idx="33">
                    <c:v>Sbaai</c:v>
                  </c:pt>
                  <c:pt idx="34">
                    <c:v>Skalli</c:v>
                  </c:pt>
                  <c:pt idx="35">
                    <c:v>Smires</c:v>
                  </c:pt>
                  <c:pt idx="36">
                    <c:v>Tahiri</c:v>
                  </c:pt>
                  <c:pt idx="37">
                    <c:v>Zayani</c:v>
                  </c:pt>
                  <c:pt idx="38">
                    <c:v>Zerouali</c:v>
                  </c:pt>
                </c:lvl>
              </c:multiLvlStrCache>
            </c:multiLvlStrRef>
          </c:cat>
          <c:val>
            <c:numRef>
              <c:f>'Backend (Traitement)'!$E$10:$E$88</c:f>
              <c:numCache>
                <c:formatCode>General</c:formatCode>
                <c:ptCount val="39"/>
                <c:pt idx="0">
                  <c:v>7380</c:v>
                </c:pt>
                <c:pt idx="1">
                  <c:v>5550</c:v>
                </c:pt>
                <c:pt idx="2">
                  <c:v>10260</c:v>
                </c:pt>
                <c:pt idx="3">
                  <c:v>13140</c:v>
                </c:pt>
                <c:pt idx="4">
                  <c:v>13140</c:v>
                </c:pt>
                <c:pt idx="5">
                  <c:v>4650</c:v>
                </c:pt>
                <c:pt idx="6">
                  <c:v>10050</c:v>
                </c:pt>
                <c:pt idx="7">
                  <c:v>7800</c:v>
                </c:pt>
                <c:pt idx="8">
                  <c:v>7470</c:v>
                </c:pt>
                <c:pt idx="9">
                  <c:v>7350</c:v>
                </c:pt>
                <c:pt idx="10">
                  <c:v>12510</c:v>
                </c:pt>
                <c:pt idx="11">
                  <c:v>6900</c:v>
                </c:pt>
                <c:pt idx="12">
                  <c:v>8100</c:v>
                </c:pt>
                <c:pt idx="13">
                  <c:v>6210</c:v>
                </c:pt>
                <c:pt idx="14">
                  <c:v>8820</c:v>
                </c:pt>
                <c:pt idx="15">
                  <c:v>14580</c:v>
                </c:pt>
                <c:pt idx="16">
                  <c:v>6840</c:v>
                </c:pt>
                <c:pt idx="17">
                  <c:v>11250</c:v>
                </c:pt>
                <c:pt idx="18">
                  <c:v>9990</c:v>
                </c:pt>
                <c:pt idx="19">
                  <c:v>13770</c:v>
                </c:pt>
                <c:pt idx="20">
                  <c:v>11880</c:v>
                </c:pt>
                <c:pt idx="21">
                  <c:v>12420</c:v>
                </c:pt>
                <c:pt idx="22">
                  <c:v>11700</c:v>
                </c:pt>
                <c:pt idx="23">
                  <c:v>9600</c:v>
                </c:pt>
                <c:pt idx="24">
                  <c:v>10980</c:v>
                </c:pt>
                <c:pt idx="25">
                  <c:v>16020</c:v>
                </c:pt>
                <c:pt idx="26">
                  <c:v>13860</c:v>
                </c:pt>
                <c:pt idx="27">
                  <c:v>9360</c:v>
                </c:pt>
                <c:pt idx="28">
                  <c:v>6450</c:v>
                </c:pt>
                <c:pt idx="29">
                  <c:v>8730</c:v>
                </c:pt>
                <c:pt idx="30">
                  <c:v>15300</c:v>
                </c:pt>
                <c:pt idx="31">
                  <c:v>8250</c:v>
                </c:pt>
                <c:pt idx="32">
                  <c:v>6000</c:v>
                </c:pt>
                <c:pt idx="33">
                  <c:v>10620</c:v>
                </c:pt>
                <c:pt idx="34">
                  <c:v>9540</c:v>
                </c:pt>
                <c:pt idx="35">
                  <c:v>8700</c:v>
                </c:pt>
                <c:pt idx="36">
                  <c:v>5100</c:v>
                </c:pt>
                <c:pt idx="37">
                  <c:v>9150</c:v>
                </c:pt>
                <c:pt idx="38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2A91-450E-B6D5-AD35756935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 (Traitement)!Tableau croisé dynamique10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'Backend (Traitement)'!$H$3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'Backend (Traitement)'!$G$4:$G$5</c:f>
              <c:strCache>
                <c:ptCount val="1"/>
                <c:pt idx="0">
                  <c:v>janv</c:v>
                </c:pt>
              </c:strCache>
            </c:strRef>
          </c:cat>
          <c:val>
            <c:numRef>
              <c:f>'Backend (Traitement)'!$H$4:$H$5</c:f>
              <c:numCache>
                <c:formatCode>General</c:formatCode>
                <c:ptCount val="1"/>
                <c:pt idx="0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B-4796-B723-A7024A2A1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82354048"/>
        <c:axId val="482359296"/>
        <c:axId val="0"/>
      </c:bar3DChart>
      <c:catAx>
        <c:axId val="4823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2359296"/>
        <c:crosses val="autoZero"/>
        <c:auto val="1"/>
        <c:lblAlgn val="ctr"/>
        <c:lblOffset val="100"/>
        <c:noMultiLvlLbl val="0"/>
      </c:catAx>
      <c:valAx>
        <c:axId val="48235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23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412094</xdr:colOff>
      <xdr:row>15</xdr:row>
      <xdr:rowOff>51458</xdr:rowOff>
    </xdr:from>
    <xdr:to>
      <xdr:col>10</xdr:col>
      <xdr:colOff>412094</xdr:colOff>
      <xdr:row>30</xdr:row>
      <xdr:rowOff>32408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7F4D644-887D-4DAA-89DD-752AD4B74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276773</xdr:colOff>
      <xdr:row>15</xdr:row>
      <xdr:rowOff>60654</xdr:rowOff>
    </xdr:from>
    <xdr:to>
      <xdr:col>17</xdr:col>
      <xdr:colOff>276773</xdr:colOff>
      <xdr:row>30</xdr:row>
      <xdr:rowOff>41604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1134626-F222-475C-95FC-07C216789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361950</xdr:colOff>
      <xdr:row>31</xdr:row>
      <xdr:rowOff>167289</xdr:rowOff>
    </xdr:from>
    <xdr:to>
      <xdr:col>10</xdr:col>
      <xdr:colOff>361950</xdr:colOff>
      <xdr:row>46</xdr:row>
      <xdr:rowOff>148240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14E5294-4950-49E7-B7E6-79BCFFBCD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196193</xdr:colOff>
      <xdr:row>31</xdr:row>
      <xdr:rowOff>173639</xdr:rowOff>
    </xdr:from>
    <xdr:to>
      <xdr:col>17</xdr:col>
      <xdr:colOff>196193</xdr:colOff>
      <xdr:row>46</xdr:row>
      <xdr:rowOff>154590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BC5DE36-5207-4E55-8105-1DD515217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258161</xdr:colOff>
      <xdr:row>48</xdr:row>
      <xdr:rowOff>109482</xdr:rowOff>
    </xdr:from>
    <xdr:to>
      <xdr:col>10</xdr:col>
      <xdr:colOff>258161</xdr:colOff>
      <xdr:row>63</xdr:row>
      <xdr:rowOff>99410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DD7F8E3D-B04A-4C81-9AAE-2181BEDE1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165100</xdr:colOff>
      <xdr:row>48</xdr:row>
      <xdr:rowOff>97438</xdr:rowOff>
    </xdr:from>
    <xdr:to>
      <xdr:col>17</xdr:col>
      <xdr:colOff>165100</xdr:colOff>
      <xdr:row>63</xdr:row>
      <xdr:rowOff>78388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BBD2C2B2-AC3A-4772-ADFB-F572FBB5B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394140</xdr:colOff>
      <xdr:row>1</xdr:row>
      <xdr:rowOff>109482</xdr:rowOff>
    </xdr:from>
    <xdr:to>
      <xdr:col>14</xdr:col>
      <xdr:colOff>450635</xdr:colOff>
      <xdr:row>8</xdr:row>
      <xdr:rowOff>656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D67D498B-7040-4508-9DB3-EB7C7EAF2731}"/>
            </a:ext>
          </a:extLst>
        </xdr:cNvPr>
        <xdr:cNvSpPr/>
      </xdr:nvSpPr>
      <xdr:spPr>
        <a:xfrm>
          <a:off x="1926899" y="284654"/>
          <a:ext cx="9253046" cy="111738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4400"/>
            <a:t>                      tableau de bord   </a:t>
          </a:r>
        </a:p>
        <a:p>
          <a:pPr algn="l"/>
          <a:endParaRPr lang="fr-FR" sz="18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328447</xdr:colOff>
      <xdr:row>11</xdr:row>
      <xdr:rowOff>-1</xdr:rowOff>
    </xdr:to>
    <xdr:sp macro="" textlink="">
      <xdr:nvSpPr>
        <xdr:cNvPr id="20" name="Ellipse 19">
          <a:extLst>
            <a:ext uri="{FF2B5EF4-FFF2-40B4-BE49-F238E27FC236}">
              <a16:creationId xmlns:a16="http://schemas.microsoft.com/office/drawing/2014/main" id="{58E1E767-9B6F-43AF-9E8E-F08D51CD05AF}"/>
            </a:ext>
          </a:extLst>
        </xdr:cNvPr>
        <xdr:cNvSpPr/>
      </xdr:nvSpPr>
      <xdr:spPr>
        <a:xfrm>
          <a:off x="0" y="0"/>
          <a:ext cx="1861206" cy="192689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21.426037962963" createdVersion="7" refreshedVersion="7" minRefreshableVersion="3" recordCount="40" xr:uid="{4DC743B7-32F2-42F3-BD39-22361B7CA155}">
  <cacheSource type="worksheet">
    <worksheetSource ref="A1:Q41" sheet="Assurances_Auto"/>
  </cacheSource>
  <cacheFields count="17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 count="40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</sharedItems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  <fieldGroup base="10">
        <rangePr groupBy="months" startDate="2025-01-01T00:00:00" endDate="2025-01-29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0">
      <sharedItems containsSemiMixedTypes="0" containsString="0" containsNumber="1" minValue="0.03" maxValue="0.06"/>
    </cacheField>
    <cacheField name="Montant_Risque" numFmtId="0">
      <sharedItems containsSemiMixedTypes="0" containsString="0" containsNumber="1" containsInteger="1" minValue="2970" maxValue="12240"/>
    </cacheField>
    <cacheField name="Prime_Totale" numFmtId="0">
      <sharedItems containsSemiMixedTypes="0" containsString="0" containsNumber="1" containsInteger="1" minValue="4650" maxValue="16020"/>
    </cacheField>
    <cacheField name="Statut_Client" numFmtId="0">
      <sharedItems count="2">
        <s v="VIP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s v="AB00001"/>
    <x v="0"/>
    <x v="0"/>
    <s v="Renault"/>
    <n v="2011"/>
    <n v="93000"/>
    <x v="0"/>
    <x v="0"/>
    <n v="12"/>
    <n v="1560"/>
    <n v="0.05"/>
    <n v="4650"/>
    <n v="6210"/>
    <x v="0"/>
  </r>
  <r>
    <n v="2"/>
    <x v="1"/>
    <x v="1"/>
    <s v="AB00002"/>
    <x v="0"/>
    <x v="1"/>
    <s v="Toyota"/>
    <n v="2012"/>
    <n v="96000"/>
    <x v="1"/>
    <x v="1"/>
    <n v="12"/>
    <n v="1620"/>
    <n v="0.06"/>
    <n v="5760"/>
    <n v="7380"/>
    <x v="0"/>
  </r>
  <r>
    <n v="3"/>
    <x v="2"/>
    <x v="2"/>
    <s v="AB00003"/>
    <x v="1"/>
    <x v="2"/>
    <s v="Hyundai"/>
    <n v="2013"/>
    <n v="99000"/>
    <x v="2"/>
    <x v="2"/>
    <n v="12"/>
    <n v="1680"/>
    <n v="0.03"/>
    <n v="2970"/>
    <n v="4650"/>
    <x v="1"/>
  </r>
  <r>
    <n v="4"/>
    <x v="3"/>
    <x v="3"/>
    <s v="AB00004"/>
    <x v="2"/>
    <x v="0"/>
    <s v="Ford"/>
    <n v="2014"/>
    <n v="102000"/>
    <x v="0"/>
    <x v="3"/>
    <n v="12"/>
    <n v="1740"/>
    <n v="0.05"/>
    <n v="5100"/>
    <n v="6840"/>
    <x v="0"/>
  </r>
  <r>
    <n v="5"/>
    <x v="4"/>
    <x v="4"/>
    <s v="AB00005"/>
    <x v="3"/>
    <x v="1"/>
    <s v="Peugeot"/>
    <n v="2015"/>
    <n v="105000"/>
    <x v="1"/>
    <x v="4"/>
    <n v="12"/>
    <n v="1800"/>
    <n v="0.06"/>
    <n v="6300"/>
    <n v="8100"/>
    <x v="0"/>
  </r>
  <r>
    <n v="6"/>
    <x v="5"/>
    <x v="5"/>
    <s v="AB00006"/>
    <x v="4"/>
    <x v="2"/>
    <s v="Dacia"/>
    <n v="2016"/>
    <n v="108000"/>
    <x v="2"/>
    <x v="5"/>
    <n v="12"/>
    <n v="1860"/>
    <n v="0.03"/>
    <n v="3240"/>
    <n v="5100"/>
    <x v="0"/>
  </r>
  <r>
    <n v="7"/>
    <x v="6"/>
    <x v="6"/>
    <s v="AB00007"/>
    <x v="1"/>
    <x v="0"/>
    <s v="Renault"/>
    <n v="2017"/>
    <n v="111000"/>
    <x v="0"/>
    <x v="6"/>
    <n v="12"/>
    <n v="1920"/>
    <n v="0.05"/>
    <n v="5550"/>
    <n v="7470"/>
    <x v="0"/>
  </r>
  <r>
    <n v="8"/>
    <x v="7"/>
    <x v="7"/>
    <s v="AB00008"/>
    <x v="5"/>
    <x v="1"/>
    <s v="Toyota"/>
    <n v="2018"/>
    <n v="114000"/>
    <x v="1"/>
    <x v="7"/>
    <n v="12"/>
    <n v="1980"/>
    <n v="0.06"/>
    <n v="6840"/>
    <n v="8820"/>
    <x v="0"/>
  </r>
  <r>
    <n v="9"/>
    <x v="8"/>
    <x v="8"/>
    <s v="AB00009"/>
    <x v="2"/>
    <x v="2"/>
    <s v="Hyundai"/>
    <n v="2019"/>
    <n v="117000"/>
    <x v="2"/>
    <x v="8"/>
    <n v="12"/>
    <n v="2040"/>
    <n v="0.03"/>
    <n v="3510"/>
    <n v="5550"/>
    <x v="0"/>
  </r>
  <r>
    <n v="10"/>
    <x v="9"/>
    <x v="9"/>
    <s v="AB00010"/>
    <x v="4"/>
    <x v="0"/>
    <s v="Ford"/>
    <n v="2020"/>
    <n v="120000"/>
    <x v="0"/>
    <x v="9"/>
    <n v="12"/>
    <n v="2100"/>
    <n v="0.05"/>
    <n v="6000"/>
    <n v="8100"/>
    <x v="0"/>
  </r>
  <r>
    <n v="11"/>
    <x v="10"/>
    <x v="10"/>
    <s v="AB00011"/>
    <x v="3"/>
    <x v="1"/>
    <s v="Peugeot"/>
    <n v="2021"/>
    <n v="123000"/>
    <x v="1"/>
    <x v="10"/>
    <n v="12"/>
    <n v="2160"/>
    <n v="0.06"/>
    <n v="7380"/>
    <n v="9540"/>
    <x v="0"/>
  </r>
  <r>
    <n v="12"/>
    <x v="11"/>
    <x v="11"/>
    <s v="AB00012"/>
    <x v="1"/>
    <x v="2"/>
    <s v="Dacia"/>
    <n v="2022"/>
    <n v="126000"/>
    <x v="2"/>
    <x v="11"/>
    <n v="12"/>
    <n v="2220"/>
    <n v="0.03"/>
    <n v="3780"/>
    <n v="6000"/>
    <x v="0"/>
  </r>
  <r>
    <n v="13"/>
    <x v="12"/>
    <x v="12"/>
    <s v="AB00013"/>
    <x v="0"/>
    <x v="0"/>
    <s v="Renault"/>
    <n v="2023"/>
    <n v="129000"/>
    <x v="0"/>
    <x v="12"/>
    <n v="12"/>
    <n v="2280"/>
    <n v="0.05"/>
    <n v="6450"/>
    <n v="8730"/>
    <x v="0"/>
  </r>
  <r>
    <n v="14"/>
    <x v="13"/>
    <x v="13"/>
    <s v="AB00014"/>
    <x v="4"/>
    <x v="1"/>
    <s v="Toyota"/>
    <n v="2010"/>
    <n v="132000"/>
    <x v="1"/>
    <x v="13"/>
    <n v="12"/>
    <n v="2340"/>
    <n v="0.06"/>
    <n v="7920"/>
    <n v="10260"/>
    <x v="0"/>
  </r>
  <r>
    <n v="15"/>
    <x v="14"/>
    <x v="14"/>
    <s v="AB00015"/>
    <x v="3"/>
    <x v="2"/>
    <s v="Hyundai"/>
    <n v="2011"/>
    <n v="135000"/>
    <x v="2"/>
    <x v="14"/>
    <n v="12"/>
    <n v="2400"/>
    <n v="0.03"/>
    <n v="4050"/>
    <n v="6450"/>
    <x v="0"/>
  </r>
  <r>
    <n v="16"/>
    <x v="15"/>
    <x v="15"/>
    <s v="AB00016"/>
    <x v="2"/>
    <x v="0"/>
    <s v="Ford"/>
    <n v="2012"/>
    <n v="138000"/>
    <x v="0"/>
    <x v="15"/>
    <n v="12"/>
    <n v="2460"/>
    <n v="0.05"/>
    <n v="6900"/>
    <n v="9360"/>
    <x v="0"/>
  </r>
  <r>
    <n v="17"/>
    <x v="16"/>
    <x v="16"/>
    <s v="AB00017"/>
    <x v="1"/>
    <x v="1"/>
    <s v="Peugeot"/>
    <n v="2013"/>
    <n v="141000"/>
    <x v="1"/>
    <x v="16"/>
    <n v="12"/>
    <n v="2520"/>
    <n v="0.06"/>
    <n v="8460"/>
    <n v="10980"/>
    <x v="0"/>
  </r>
  <r>
    <n v="18"/>
    <x v="17"/>
    <x v="17"/>
    <s v="AB00018"/>
    <x v="0"/>
    <x v="2"/>
    <s v="Dacia"/>
    <n v="2014"/>
    <n v="144000"/>
    <x v="2"/>
    <x v="17"/>
    <n v="12"/>
    <n v="2580"/>
    <n v="0.03"/>
    <n v="4320"/>
    <n v="6900"/>
    <x v="0"/>
  </r>
  <r>
    <n v="19"/>
    <x v="18"/>
    <x v="18"/>
    <s v="AB00019"/>
    <x v="4"/>
    <x v="0"/>
    <s v="Renault"/>
    <n v="2015"/>
    <n v="147000"/>
    <x v="0"/>
    <x v="18"/>
    <n v="12"/>
    <n v="2640"/>
    <n v="0.05"/>
    <n v="7350"/>
    <n v="9990"/>
    <x v="0"/>
  </r>
  <r>
    <n v="20"/>
    <x v="19"/>
    <x v="19"/>
    <s v="AB00020"/>
    <x v="3"/>
    <x v="1"/>
    <s v="Toyota"/>
    <n v="2016"/>
    <n v="150000"/>
    <x v="1"/>
    <x v="19"/>
    <n v="12"/>
    <n v="2700"/>
    <n v="0.06"/>
    <n v="9000"/>
    <n v="11700"/>
    <x v="0"/>
  </r>
  <r>
    <n v="21"/>
    <x v="20"/>
    <x v="20"/>
    <s v="AB00021"/>
    <x v="2"/>
    <x v="2"/>
    <s v="Hyundai"/>
    <n v="2017"/>
    <n v="153000"/>
    <x v="2"/>
    <x v="20"/>
    <n v="12"/>
    <n v="2760"/>
    <n v="0.03"/>
    <n v="4590"/>
    <n v="7350"/>
    <x v="0"/>
  </r>
  <r>
    <n v="22"/>
    <x v="21"/>
    <x v="21"/>
    <s v="AB00022"/>
    <x v="1"/>
    <x v="0"/>
    <s v="Ford"/>
    <n v="2018"/>
    <n v="156000"/>
    <x v="0"/>
    <x v="21"/>
    <n v="12"/>
    <n v="2820"/>
    <n v="0.05"/>
    <n v="7800"/>
    <n v="10620"/>
    <x v="0"/>
  </r>
  <r>
    <n v="23"/>
    <x v="22"/>
    <x v="22"/>
    <s v="AB00023"/>
    <x v="4"/>
    <x v="1"/>
    <s v="Peugeot"/>
    <n v="2019"/>
    <n v="159000"/>
    <x v="1"/>
    <x v="22"/>
    <n v="12"/>
    <n v="2880"/>
    <n v="0.06"/>
    <n v="9540"/>
    <n v="12420"/>
    <x v="0"/>
  </r>
  <r>
    <n v="24"/>
    <x v="23"/>
    <x v="23"/>
    <s v="AB00024"/>
    <x v="2"/>
    <x v="2"/>
    <s v="Dacia"/>
    <n v="2020"/>
    <n v="162000"/>
    <x v="2"/>
    <x v="23"/>
    <n v="12"/>
    <n v="2940"/>
    <n v="0.03"/>
    <n v="4860"/>
    <n v="7800"/>
    <x v="0"/>
  </r>
  <r>
    <n v="25"/>
    <x v="24"/>
    <x v="24"/>
    <s v="AB00025"/>
    <x v="3"/>
    <x v="0"/>
    <s v="Renault"/>
    <n v="2021"/>
    <n v="165000"/>
    <x v="0"/>
    <x v="24"/>
    <n v="12"/>
    <n v="3000"/>
    <n v="0.05"/>
    <n v="8250"/>
    <n v="11250"/>
    <x v="0"/>
  </r>
  <r>
    <n v="26"/>
    <x v="25"/>
    <x v="25"/>
    <s v="AB00026"/>
    <x v="0"/>
    <x v="1"/>
    <s v="Toyota"/>
    <n v="2022"/>
    <n v="168000"/>
    <x v="1"/>
    <x v="25"/>
    <n v="12"/>
    <n v="3060"/>
    <n v="0.06"/>
    <n v="10080"/>
    <n v="13140"/>
    <x v="0"/>
  </r>
  <r>
    <n v="27"/>
    <x v="26"/>
    <x v="26"/>
    <s v="AB00027"/>
    <x v="4"/>
    <x v="2"/>
    <s v="Hyundai"/>
    <n v="2023"/>
    <n v="171000"/>
    <x v="2"/>
    <x v="26"/>
    <n v="12"/>
    <n v="3120"/>
    <n v="0.03"/>
    <n v="5130"/>
    <n v="8250"/>
    <x v="0"/>
  </r>
  <r>
    <n v="28"/>
    <x v="27"/>
    <x v="27"/>
    <s v="AB00028"/>
    <x v="1"/>
    <x v="0"/>
    <s v="Ford"/>
    <n v="2010"/>
    <n v="174000"/>
    <x v="0"/>
    <x v="27"/>
    <n v="12"/>
    <n v="3180"/>
    <n v="0.05"/>
    <n v="8700"/>
    <n v="11880"/>
    <x v="0"/>
  </r>
  <r>
    <n v="29"/>
    <x v="28"/>
    <x v="28"/>
    <s v="AB00029"/>
    <x v="2"/>
    <x v="1"/>
    <s v="Peugeot"/>
    <n v="2011"/>
    <n v="177000"/>
    <x v="1"/>
    <x v="0"/>
    <n v="12"/>
    <n v="3240"/>
    <n v="0.06"/>
    <n v="10620"/>
    <n v="13860"/>
    <x v="0"/>
  </r>
  <r>
    <n v="30"/>
    <x v="29"/>
    <x v="29"/>
    <s v="AB00030"/>
    <x v="3"/>
    <x v="2"/>
    <s v="Dacia"/>
    <n v="2012"/>
    <n v="180000"/>
    <x v="2"/>
    <x v="1"/>
    <n v="12"/>
    <n v="3300"/>
    <n v="0.03"/>
    <n v="5400"/>
    <n v="8700"/>
    <x v="0"/>
  </r>
  <r>
    <n v="31"/>
    <x v="30"/>
    <x v="30"/>
    <s v="AB00031"/>
    <x v="4"/>
    <x v="0"/>
    <s v="Renault"/>
    <n v="2013"/>
    <n v="183000"/>
    <x v="0"/>
    <x v="2"/>
    <n v="12"/>
    <n v="3360"/>
    <n v="0.05"/>
    <n v="9150"/>
    <n v="12510"/>
    <x v="0"/>
  </r>
  <r>
    <n v="32"/>
    <x v="31"/>
    <x v="31"/>
    <s v="AB00032"/>
    <x v="1"/>
    <x v="1"/>
    <s v="Toyota"/>
    <n v="2014"/>
    <n v="186000"/>
    <x v="1"/>
    <x v="3"/>
    <n v="12"/>
    <n v="3420"/>
    <n v="0.06"/>
    <n v="11160"/>
    <n v="14580"/>
    <x v="0"/>
  </r>
  <r>
    <n v="33"/>
    <x v="32"/>
    <x v="32"/>
    <s v="AB00033"/>
    <x v="2"/>
    <x v="2"/>
    <s v="Hyundai"/>
    <n v="2015"/>
    <n v="189000"/>
    <x v="2"/>
    <x v="4"/>
    <n v="12"/>
    <n v="3480"/>
    <n v="0.03"/>
    <n v="5670"/>
    <n v="9150"/>
    <x v="0"/>
  </r>
  <r>
    <n v="34"/>
    <x v="33"/>
    <x v="33"/>
    <s v="AB00034"/>
    <x v="3"/>
    <x v="0"/>
    <s v="Ford"/>
    <n v="2016"/>
    <n v="192000"/>
    <x v="0"/>
    <x v="5"/>
    <n v="12"/>
    <n v="3540"/>
    <n v="0.05"/>
    <n v="9600"/>
    <n v="13140"/>
    <x v="0"/>
  </r>
  <r>
    <n v="35"/>
    <x v="34"/>
    <x v="34"/>
    <s v="AB00035"/>
    <x v="0"/>
    <x v="1"/>
    <s v="Peugeot"/>
    <n v="2017"/>
    <n v="195000"/>
    <x v="1"/>
    <x v="6"/>
    <n v="12"/>
    <n v="3600"/>
    <n v="0.06"/>
    <n v="11700"/>
    <n v="15300"/>
    <x v="0"/>
  </r>
  <r>
    <n v="36"/>
    <x v="35"/>
    <x v="35"/>
    <s v="AB00036"/>
    <x v="4"/>
    <x v="2"/>
    <s v="Dacia"/>
    <n v="2018"/>
    <n v="198000"/>
    <x v="2"/>
    <x v="7"/>
    <n v="12"/>
    <n v="3660"/>
    <n v="0.03"/>
    <n v="5940"/>
    <n v="9600"/>
    <x v="0"/>
  </r>
  <r>
    <n v="37"/>
    <x v="36"/>
    <x v="36"/>
    <s v="AB00037"/>
    <x v="1"/>
    <x v="0"/>
    <s v="Renault"/>
    <n v="2019"/>
    <n v="201000"/>
    <x v="0"/>
    <x v="8"/>
    <n v="12"/>
    <n v="3720"/>
    <n v="0.05"/>
    <n v="10050"/>
    <n v="13770"/>
    <x v="0"/>
  </r>
  <r>
    <n v="38"/>
    <x v="37"/>
    <x v="37"/>
    <s v="AB00038"/>
    <x v="2"/>
    <x v="1"/>
    <s v="Toyota"/>
    <n v="2020"/>
    <n v="204000"/>
    <x v="1"/>
    <x v="9"/>
    <n v="12"/>
    <n v="3780"/>
    <n v="0.06"/>
    <n v="12240"/>
    <n v="16020"/>
    <x v="0"/>
  </r>
  <r>
    <n v="39"/>
    <x v="38"/>
    <x v="38"/>
    <s v="AB00039"/>
    <x v="3"/>
    <x v="2"/>
    <s v="Hyundai"/>
    <n v="2021"/>
    <n v="207000"/>
    <x v="2"/>
    <x v="10"/>
    <n v="12"/>
    <n v="3840"/>
    <n v="0.03"/>
    <n v="6210"/>
    <n v="10050"/>
    <x v="0"/>
  </r>
  <r>
    <n v="40"/>
    <x v="39"/>
    <x v="39"/>
    <s v="AB00040"/>
    <x v="0"/>
    <x v="0"/>
    <s v="Ford"/>
    <n v="2022"/>
    <n v="210000"/>
    <x v="0"/>
    <x v="11"/>
    <n v="12"/>
    <n v="3900"/>
    <n v="0.05"/>
    <n v="10500"/>
    <n v="144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ACA40-0D39-4DCD-B3FE-929D1B043DCE}" name="Tableau croisé dynamique10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0" rowHeaderCaption="">
  <location ref="G3:H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omme de Prime_Totale" fld="15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8E827-77BA-458B-BE5C-AACCD4914988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">
  <location ref="D9:E88" firstHeaderRow="1" firstDataRow="1" firstDataCol="1"/>
  <pivotFields count="17">
    <pivotField showAll="0"/>
    <pivotField axis="axisRow" showAll="0">
      <items count="41">
        <item h="1"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axis="axisRow" showAll="0">
      <items count="41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1"/>
    <field x="2"/>
  </rowFields>
  <rowItems count="79">
    <i>
      <x v="1"/>
    </i>
    <i r="1">
      <x v="7"/>
    </i>
    <i>
      <x v="2"/>
    </i>
    <i r="1">
      <x v="10"/>
    </i>
    <i>
      <x v="3"/>
    </i>
    <i r="1">
      <x v="35"/>
    </i>
    <i>
      <x v="4"/>
    </i>
    <i r="1">
      <x v="8"/>
    </i>
    <i>
      <x v="5"/>
    </i>
    <i r="1">
      <x v="37"/>
    </i>
    <i>
      <x v="6"/>
    </i>
    <i r="1">
      <x v="3"/>
    </i>
    <i>
      <x v="7"/>
    </i>
    <i r="1">
      <x v="2"/>
    </i>
    <i>
      <x v="8"/>
    </i>
    <i r="1">
      <x v="32"/>
    </i>
    <i>
      <x v="9"/>
    </i>
    <i r="1">
      <x v="26"/>
    </i>
    <i>
      <x v="10"/>
    </i>
    <i r="1">
      <x v="6"/>
    </i>
    <i>
      <x v="11"/>
    </i>
    <i r="1">
      <x v="11"/>
    </i>
    <i>
      <x v="12"/>
    </i>
    <i r="1">
      <x v="4"/>
    </i>
    <i>
      <x v="13"/>
    </i>
    <i r="1">
      <x v="22"/>
    </i>
    <i>
      <x v="14"/>
    </i>
    <i r="1">
      <x v="39"/>
    </i>
    <i>
      <x v="15"/>
    </i>
    <i r="1">
      <x v="13"/>
    </i>
    <i>
      <x v="16"/>
    </i>
    <i r="1">
      <x v="30"/>
    </i>
    <i>
      <x v="17"/>
    </i>
    <i r="1">
      <x v="31"/>
    </i>
    <i>
      <x v="18"/>
    </i>
    <i r="1">
      <x v="21"/>
    </i>
    <i>
      <x v="19"/>
    </i>
    <i r="1">
      <x v="15"/>
    </i>
    <i>
      <x v="20"/>
    </i>
    <i r="1">
      <x v="14"/>
    </i>
    <i>
      <x v="21"/>
    </i>
    <i r="1">
      <x v="1"/>
    </i>
    <i>
      <x v="22"/>
    </i>
    <i r="1">
      <x v="20"/>
    </i>
    <i>
      <x v="23"/>
    </i>
    <i r="1">
      <x v="17"/>
    </i>
    <i>
      <x v="24"/>
    </i>
    <i r="1">
      <x v="29"/>
    </i>
    <i>
      <x v="25"/>
    </i>
    <i r="1">
      <x v="36"/>
    </i>
    <i>
      <x v="26"/>
    </i>
    <i r="1">
      <x v="12"/>
    </i>
    <i>
      <x v="27"/>
    </i>
    <i r="1">
      <x v="18"/>
    </i>
    <i>
      <x v="28"/>
    </i>
    <i r="1">
      <x v="33"/>
    </i>
    <i>
      <x v="29"/>
    </i>
    <i r="1">
      <x v="27"/>
    </i>
    <i>
      <x v="30"/>
    </i>
    <i r="1">
      <x v="5"/>
    </i>
    <i>
      <x v="31"/>
    </i>
    <i r="1">
      <x v="19"/>
    </i>
    <i>
      <x v="32"/>
    </i>
    <i r="1">
      <x v="25"/>
    </i>
    <i>
      <x v="33"/>
    </i>
    <i r="1">
      <x v="34"/>
    </i>
    <i>
      <x v="34"/>
    </i>
    <i r="1">
      <x v="9"/>
    </i>
    <i>
      <x v="35"/>
    </i>
    <i r="1">
      <x/>
    </i>
    <i>
      <x v="36"/>
    </i>
    <i r="1">
      <x v="38"/>
    </i>
    <i>
      <x v="37"/>
    </i>
    <i r="1">
      <x v="16"/>
    </i>
    <i>
      <x v="38"/>
    </i>
    <i r="1">
      <x v="28"/>
    </i>
    <i>
      <x v="39"/>
    </i>
    <i r="1">
      <x v="23"/>
    </i>
    <i t="grand">
      <x/>
    </i>
  </rowItems>
  <colItems count="1">
    <i/>
  </colItems>
  <dataFields count="1">
    <dataField name="Somme de Prime_Totale" fld="15" baseField="1" baseItem="32"/>
  </dataFields>
  <chartFormats count="41">
    <chartFormat chart="3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0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5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8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7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3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32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26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6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 selected="0">
            <x v="4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 selected="0">
            <x v="22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2" count="1" selected="0">
            <x v="39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2" count="1" selected="0">
            <x v="13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2" count="1" selected="0">
            <x v="30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2" count="1" selected="0">
            <x v="31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21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2" count="1" selected="0">
            <x v="15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2" count="1" selected="0">
            <x v="14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</references>
      </pivotArea>
    </chartFormat>
    <chartFormat chart="3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2" count="1" selected="0">
            <x v="20"/>
          </reference>
        </references>
      </pivotArea>
    </chartFormat>
    <chartFormat chart="3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2" count="1" selected="0">
            <x v="17"/>
          </reference>
        </references>
      </pivotArea>
    </chartFormat>
    <chartFormat chart="3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2" count="1" selected="0">
            <x v="29"/>
          </reference>
        </references>
      </pivotArea>
    </chartFormat>
    <chartFormat chart="3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2" count="1" selected="0">
            <x v="36"/>
          </reference>
        </references>
      </pivotArea>
    </chartFormat>
    <chartFormat chart="3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2" count="1" selected="0">
            <x v="12"/>
          </reference>
        </references>
      </pivotArea>
    </chartFormat>
    <chartFormat chart="3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2" count="1" selected="0">
            <x v="18"/>
          </reference>
        </references>
      </pivotArea>
    </chartFormat>
    <chartFormat chart="3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2" count="1" selected="0">
            <x v="33"/>
          </reference>
        </references>
      </pivotArea>
    </chartFormat>
    <chartFormat chart="3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2" count="1" selected="0">
            <x v="27"/>
          </reference>
        </references>
      </pivotArea>
    </chartFormat>
    <chartFormat chart="3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2" count="1" selected="0">
            <x v="5"/>
          </reference>
        </references>
      </pivotArea>
    </chartFormat>
    <chartFormat chart="3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2" count="1" selected="0">
            <x v="19"/>
          </reference>
        </references>
      </pivotArea>
    </chartFormat>
    <chartFormat chart="3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32"/>
          </reference>
          <reference field="2" count="1" selected="0">
            <x v="25"/>
          </reference>
        </references>
      </pivotArea>
    </chartFormat>
    <chartFormat chart="3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33"/>
          </reference>
          <reference field="2" count="1" selected="0">
            <x v="34"/>
          </reference>
        </references>
      </pivotArea>
    </chartFormat>
    <chartFormat chart="3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2" count="1" selected="0">
            <x v="9"/>
          </reference>
        </references>
      </pivotArea>
    </chartFormat>
    <chartFormat chart="3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2" count="1" selected="0">
            <x v="0"/>
          </reference>
        </references>
      </pivotArea>
    </chartFormat>
    <chartFormat chart="3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2" count="1" selected="0">
            <x v="38"/>
          </reference>
        </references>
      </pivotArea>
    </chartFormat>
    <chartFormat chart="3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37"/>
          </reference>
          <reference field="2" count="1" selected="0">
            <x v="16"/>
          </reference>
        </references>
      </pivotArea>
    </chartFormat>
    <chartFormat chart="3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2" count="1" selected="0">
            <x v="28"/>
          </reference>
        </references>
      </pivotArea>
    </chartFormat>
    <chartFormat chart="3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39"/>
          </reference>
          <reference field="2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9C911-969A-4CC1-9BCE-0AA1B96117D9}" name="Tableau croisé dynamique6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">
  <location ref="D3:E6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omme de ID_Client" fld="0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5C5ED-A2DA-4662-9FB9-98B28857F1F5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A18:B22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ime_Totale" fld="1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67D8F-33DA-4597-A0D3-D1EBC2D24F09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A8:B15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ID_Client" fld="0" subtotal="count" baseField="4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CA570-B6FE-4E9F-8750-FDF994ECBF9B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0" rowHeaderCaption="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ime_Totale" fld="15" baseField="9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0FAF8-82C8-441B-AB98-085062D9B936}" name="Tableau1" displayName="Tableau1" ref="X7:Z8" totalsRowShown="0">
  <autoFilter ref="X7:Z8" xr:uid="{EDA0FAF8-82C8-441B-AB98-085062D9B936}"/>
  <tableColumns count="3">
    <tableColumn id="1" xr3:uid="{224F8C74-AB5C-47B8-9402-5C66D4686DE4}" name="ID Client"/>
    <tableColumn id="2" xr3:uid="{02C7D4C9-361D-4F6C-8603-7988EC2472C1}" name="_x0009_Nom Client">
      <calculatedColumnFormula>INDEX($B$3:$B$41, MATCH($T$3, $A$2:$A$41, 0))</calculatedColumnFormula>
    </tableColumn>
    <tableColumn id="3" xr3:uid="{AD66616F-87C6-4FAD-98BF-853340244263}" name="Prime Totale">
      <calculatedColumnFormula>INDEX($P$3:$P$41, MATCH($T$3, $A$2:$A$41, 0))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9E1E-1E92-4CC0-A017-07C74E1265BE}">
  <dimension ref="A3:H88"/>
  <sheetViews>
    <sheetView topLeftCell="A6" zoomScale="71" zoomScaleNormal="71" workbookViewId="0">
      <selection activeCell="F6" sqref="F6"/>
    </sheetView>
  </sheetViews>
  <sheetFormatPr baseColWidth="10" defaultRowHeight="14.5" x14ac:dyDescent="0.35"/>
  <cols>
    <col min="1" max="1" width="11.7265625" bestFit="1" customWidth="1"/>
    <col min="2" max="2" width="21.453125" bestFit="1" customWidth="1"/>
    <col min="3" max="3" width="17.81640625" bestFit="1" customWidth="1"/>
    <col min="4" max="4" width="14.1796875" bestFit="1" customWidth="1"/>
    <col min="5" max="5" width="21.453125" bestFit="1" customWidth="1"/>
    <col min="6" max="6" width="10.36328125" bestFit="1" customWidth="1"/>
    <col min="7" max="7" width="11.7265625" bestFit="1" customWidth="1"/>
    <col min="8" max="8" width="21.453125" bestFit="1" customWidth="1"/>
  </cols>
  <sheetData>
    <row r="3" spans="1:8" x14ac:dyDescent="0.35">
      <c r="A3" s="8" t="s">
        <v>167</v>
      </c>
      <c r="B3" t="s">
        <v>162</v>
      </c>
      <c r="D3" s="8" t="s">
        <v>167</v>
      </c>
      <c r="E3" t="s">
        <v>166</v>
      </c>
      <c r="G3" s="8" t="s">
        <v>167</v>
      </c>
      <c r="H3" t="s">
        <v>162</v>
      </c>
    </row>
    <row r="4" spans="1:8" x14ac:dyDescent="0.35">
      <c r="A4" s="4" t="s">
        <v>36</v>
      </c>
      <c r="B4" s="9">
        <v>95550</v>
      </c>
      <c r="D4" s="4" t="s">
        <v>164</v>
      </c>
      <c r="E4" s="9">
        <v>3</v>
      </c>
      <c r="G4" s="11" t="s">
        <v>169</v>
      </c>
      <c r="H4" s="9">
        <v>391920</v>
      </c>
    </row>
    <row r="5" spans="1:8" x14ac:dyDescent="0.35">
      <c r="A5" s="4" t="s">
        <v>23</v>
      </c>
      <c r="B5" s="9">
        <v>144270</v>
      </c>
      <c r="D5" s="4" t="s">
        <v>163</v>
      </c>
      <c r="E5" s="9">
        <v>817</v>
      </c>
      <c r="G5" s="11" t="s">
        <v>161</v>
      </c>
      <c r="H5" s="9">
        <v>391920</v>
      </c>
    </row>
    <row r="6" spans="1:8" x14ac:dyDescent="0.35">
      <c r="A6" s="4" t="s">
        <v>29</v>
      </c>
      <c r="B6" s="9">
        <v>152100</v>
      </c>
      <c r="D6" s="4" t="s">
        <v>161</v>
      </c>
      <c r="E6" s="9">
        <v>820</v>
      </c>
    </row>
    <row r="7" spans="1:8" x14ac:dyDescent="0.35">
      <c r="A7" s="4" t="s">
        <v>161</v>
      </c>
      <c r="B7" s="9">
        <v>391920</v>
      </c>
    </row>
    <row r="8" spans="1:8" x14ac:dyDescent="0.35">
      <c r="A8" s="8" t="s">
        <v>165</v>
      </c>
      <c r="B8" t="s">
        <v>168</v>
      </c>
    </row>
    <row r="9" spans="1:8" x14ac:dyDescent="0.35">
      <c r="A9" s="4" t="s">
        <v>50</v>
      </c>
      <c r="B9" s="9">
        <v>8</v>
      </c>
      <c r="D9" s="8" t="s">
        <v>167</v>
      </c>
      <c r="E9" t="s">
        <v>162</v>
      </c>
    </row>
    <row r="10" spans="1:8" x14ac:dyDescent="0.35">
      <c r="A10" s="4" t="s">
        <v>45</v>
      </c>
      <c r="B10" s="9">
        <v>8</v>
      </c>
      <c r="D10" s="4" t="s">
        <v>24</v>
      </c>
      <c r="E10" s="9">
        <v>7380</v>
      </c>
    </row>
    <row r="11" spans="1:8" x14ac:dyDescent="0.35">
      <c r="A11" s="4" t="s">
        <v>58</v>
      </c>
      <c r="B11" s="9">
        <v>1</v>
      </c>
      <c r="D11" s="10" t="s">
        <v>25</v>
      </c>
      <c r="E11" s="9">
        <v>7380</v>
      </c>
    </row>
    <row r="12" spans="1:8" x14ac:dyDescent="0.35">
      <c r="A12" s="4" t="s">
        <v>33</v>
      </c>
      <c r="B12" s="9">
        <v>8</v>
      </c>
      <c r="D12" s="4" t="s">
        <v>59</v>
      </c>
      <c r="E12" s="9">
        <v>5550</v>
      </c>
    </row>
    <row r="13" spans="1:8" x14ac:dyDescent="0.35">
      <c r="A13" s="4" t="s">
        <v>20</v>
      </c>
      <c r="B13" s="9">
        <v>7</v>
      </c>
      <c r="D13" s="10" t="s">
        <v>60</v>
      </c>
      <c r="E13" s="9">
        <v>5550</v>
      </c>
    </row>
    <row r="14" spans="1:8" x14ac:dyDescent="0.35">
      <c r="A14" s="4" t="s">
        <v>40</v>
      </c>
      <c r="B14" s="9">
        <v>8</v>
      </c>
      <c r="D14" s="4" t="s">
        <v>74</v>
      </c>
      <c r="E14" s="9">
        <v>10260</v>
      </c>
    </row>
    <row r="15" spans="1:8" x14ac:dyDescent="0.35">
      <c r="A15" s="4" t="s">
        <v>161</v>
      </c>
      <c r="B15" s="9">
        <v>40</v>
      </c>
      <c r="D15" s="10" t="s">
        <v>75</v>
      </c>
      <c r="E15" s="9">
        <v>10260</v>
      </c>
    </row>
    <row r="16" spans="1:8" x14ac:dyDescent="0.35">
      <c r="D16" s="4" t="s">
        <v>110</v>
      </c>
      <c r="E16" s="9">
        <v>13140</v>
      </c>
    </row>
    <row r="17" spans="1:5" x14ac:dyDescent="0.35">
      <c r="D17" s="10" t="s">
        <v>111</v>
      </c>
      <c r="E17" s="9">
        <v>13140</v>
      </c>
    </row>
    <row r="18" spans="1:5" x14ac:dyDescent="0.35">
      <c r="A18" s="8" t="s">
        <v>165</v>
      </c>
      <c r="B18" t="s">
        <v>162</v>
      </c>
      <c r="D18" s="4" t="s">
        <v>134</v>
      </c>
      <c r="E18" s="9">
        <v>13140</v>
      </c>
    </row>
    <row r="19" spans="1:5" x14ac:dyDescent="0.35">
      <c r="A19" s="4" t="s">
        <v>27</v>
      </c>
      <c r="B19" s="9">
        <v>152100</v>
      </c>
      <c r="D19" s="10" t="s">
        <v>135</v>
      </c>
      <c r="E19" s="9">
        <v>13140</v>
      </c>
    </row>
    <row r="20" spans="1:5" x14ac:dyDescent="0.35">
      <c r="A20" s="4" t="s">
        <v>21</v>
      </c>
      <c r="B20" s="9">
        <v>144270</v>
      </c>
      <c r="D20" s="4" t="s">
        <v>30</v>
      </c>
      <c r="E20" s="9">
        <v>4650</v>
      </c>
    </row>
    <row r="21" spans="1:5" x14ac:dyDescent="0.35">
      <c r="A21" s="4" t="s">
        <v>34</v>
      </c>
      <c r="B21" s="9">
        <v>95550</v>
      </c>
      <c r="D21" s="10" t="s">
        <v>31</v>
      </c>
      <c r="E21" s="9">
        <v>4650</v>
      </c>
    </row>
    <row r="22" spans="1:5" x14ac:dyDescent="0.35">
      <c r="A22" s="4" t="s">
        <v>161</v>
      </c>
      <c r="B22" s="9">
        <v>391920</v>
      </c>
      <c r="D22" s="4" t="s">
        <v>149</v>
      </c>
      <c r="E22" s="9">
        <v>10050</v>
      </c>
    </row>
    <row r="23" spans="1:5" x14ac:dyDescent="0.35">
      <c r="D23" s="10" t="s">
        <v>150</v>
      </c>
      <c r="E23" s="9">
        <v>10050</v>
      </c>
    </row>
    <row r="24" spans="1:5" x14ac:dyDescent="0.35">
      <c r="D24" s="4" t="s">
        <v>104</v>
      </c>
      <c r="E24" s="9">
        <v>7800</v>
      </c>
    </row>
    <row r="25" spans="1:5" x14ac:dyDescent="0.35">
      <c r="D25" s="10" t="s">
        <v>105</v>
      </c>
      <c r="E25" s="9">
        <v>7800</v>
      </c>
    </row>
    <row r="26" spans="1:5" x14ac:dyDescent="0.35">
      <c r="D26" s="4" t="s">
        <v>52</v>
      </c>
      <c r="E26" s="9">
        <v>7470</v>
      </c>
    </row>
    <row r="27" spans="1:5" x14ac:dyDescent="0.35">
      <c r="D27" s="10" t="s">
        <v>53</v>
      </c>
      <c r="E27" s="9">
        <v>7470</v>
      </c>
    </row>
    <row r="28" spans="1:5" x14ac:dyDescent="0.35">
      <c r="D28" s="4" t="s">
        <v>95</v>
      </c>
      <c r="E28" s="9">
        <v>7350</v>
      </c>
    </row>
    <row r="29" spans="1:5" x14ac:dyDescent="0.35">
      <c r="D29" s="10" t="s">
        <v>96</v>
      </c>
      <c r="E29" s="9">
        <v>7350</v>
      </c>
    </row>
    <row r="30" spans="1:5" x14ac:dyDescent="0.35">
      <c r="D30" s="4" t="s">
        <v>125</v>
      </c>
      <c r="E30" s="9">
        <v>12510</v>
      </c>
    </row>
    <row r="31" spans="1:5" x14ac:dyDescent="0.35">
      <c r="D31" s="10" t="s">
        <v>126</v>
      </c>
      <c r="E31" s="9">
        <v>12510</v>
      </c>
    </row>
    <row r="32" spans="1:5" x14ac:dyDescent="0.35">
      <c r="D32" s="4" t="s">
        <v>86</v>
      </c>
      <c r="E32" s="9">
        <v>6900</v>
      </c>
    </row>
    <row r="33" spans="4:5" x14ac:dyDescent="0.35">
      <c r="D33" s="10" t="s">
        <v>87</v>
      </c>
      <c r="E33" s="9">
        <v>6900</v>
      </c>
    </row>
    <row r="34" spans="4:5" x14ac:dyDescent="0.35">
      <c r="D34" s="4" t="s">
        <v>42</v>
      </c>
      <c r="E34" s="9">
        <v>8100</v>
      </c>
    </row>
    <row r="35" spans="4:5" x14ac:dyDescent="0.35">
      <c r="D35" s="10" t="s">
        <v>43</v>
      </c>
      <c r="E35" s="9">
        <v>8100</v>
      </c>
    </row>
    <row r="36" spans="4:5" x14ac:dyDescent="0.35">
      <c r="D36" s="4" t="s">
        <v>17</v>
      </c>
      <c r="E36" s="9">
        <v>6210</v>
      </c>
    </row>
    <row r="37" spans="4:5" x14ac:dyDescent="0.35">
      <c r="D37" s="10" t="s">
        <v>18</v>
      </c>
      <c r="E37" s="9">
        <v>6210</v>
      </c>
    </row>
    <row r="38" spans="4:5" x14ac:dyDescent="0.35">
      <c r="D38" s="4" t="s">
        <v>55</v>
      </c>
      <c r="E38" s="9">
        <v>8820</v>
      </c>
    </row>
    <row r="39" spans="4:5" x14ac:dyDescent="0.35">
      <c r="D39" s="10" t="s">
        <v>56</v>
      </c>
      <c r="E39" s="9">
        <v>8820</v>
      </c>
    </row>
    <row r="40" spans="4:5" x14ac:dyDescent="0.35">
      <c r="D40" s="4" t="s">
        <v>128</v>
      </c>
      <c r="E40" s="9">
        <v>14580</v>
      </c>
    </row>
    <row r="41" spans="4:5" x14ac:dyDescent="0.35">
      <c r="D41" s="10" t="s">
        <v>129</v>
      </c>
      <c r="E41" s="9">
        <v>14580</v>
      </c>
    </row>
    <row r="42" spans="4:5" x14ac:dyDescent="0.35">
      <c r="D42" s="4" t="s">
        <v>37</v>
      </c>
      <c r="E42" s="9">
        <v>6840</v>
      </c>
    </row>
    <row r="43" spans="4:5" x14ac:dyDescent="0.35">
      <c r="D43" s="10" t="s">
        <v>38</v>
      </c>
      <c r="E43" s="9">
        <v>6840</v>
      </c>
    </row>
    <row r="44" spans="4:5" x14ac:dyDescent="0.35">
      <c r="D44" s="4" t="s">
        <v>107</v>
      </c>
      <c r="E44" s="9">
        <v>11250</v>
      </c>
    </row>
    <row r="45" spans="4:5" x14ac:dyDescent="0.35">
      <c r="D45" s="10" t="s">
        <v>108</v>
      </c>
      <c r="E45" s="9">
        <v>11250</v>
      </c>
    </row>
    <row r="46" spans="4:5" x14ac:dyDescent="0.35">
      <c r="D46" s="4" t="s">
        <v>89</v>
      </c>
      <c r="E46" s="9">
        <v>9990</v>
      </c>
    </row>
    <row r="47" spans="4:5" x14ac:dyDescent="0.35">
      <c r="D47" s="10" t="s">
        <v>90</v>
      </c>
      <c r="E47" s="9">
        <v>9990</v>
      </c>
    </row>
    <row r="48" spans="4:5" x14ac:dyDescent="0.35">
      <c r="D48" s="4" t="s">
        <v>143</v>
      </c>
      <c r="E48" s="9">
        <v>13770</v>
      </c>
    </row>
    <row r="49" spans="4:5" x14ac:dyDescent="0.35">
      <c r="D49" s="10" t="s">
        <v>144</v>
      </c>
      <c r="E49" s="9">
        <v>13770</v>
      </c>
    </row>
    <row r="50" spans="4:5" x14ac:dyDescent="0.35">
      <c r="D50" s="4" t="s">
        <v>116</v>
      </c>
      <c r="E50" s="9">
        <v>11880</v>
      </c>
    </row>
    <row r="51" spans="4:5" x14ac:dyDescent="0.35">
      <c r="D51" s="10" t="s">
        <v>117</v>
      </c>
      <c r="E51" s="9">
        <v>11880</v>
      </c>
    </row>
    <row r="52" spans="4:5" x14ac:dyDescent="0.35">
      <c r="D52" s="4" t="s">
        <v>101</v>
      </c>
      <c r="E52" s="9">
        <v>12420</v>
      </c>
    </row>
    <row r="53" spans="4:5" x14ac:dyDescent="0.35">
      <c r="D53" s="10" t="s">
        <v>102</v>
      </c>
      <c r="E53" s="9">
        <v>12420</v>
      </c>
    </row>
    <row r="54" spans="4:5" x14ac:dyDescent="0.35">
      <c r="D54" s="4" t="s">
        <v>92</v>
      </c>
      <c r="E54" s="9">
        <v>11700</v>
      </c>
    </row>
    <row r="55" spans="4:5" x14ac:dyDescent="0.35">
      <c r="D55" s="10" t="s">
        <v>93</v>
      </c>
      <c r="E55" s="9">
        <v>11700</v>
      </c>
    </row>
    <row r="56" spans="4:5" x14ac:dyDescent="0.35">
      <c r="D56" s="4" t="s">
        <v>140</v>
      </c>
      <c r="E56" s="9">
        <v>9600</v>
      </c>
    </row>
    <row r="57" spans="4:5" x14ac:dyDescent="0.35">
      <c r="D57" s="10" t="s">
        <v>141</v>
      </c>
      <c r="E57" s="9">
        <v>9600</v>
      </c>
    </row>
    <row r="58" spans="4:5" x14ac:dyDescent="0.35">
      <c r="D58" s="4" t="s">
        <v>83</v>
      </c>
      <c r="E58" s="9">
        <v>10980</v>
      </c>
    </row>
    <row r="59" spans="4:5" x14ac:dyDescent="0.35">
      <c r="D59" s="10" t="s">
        <v>84</v>
      </c>
      <c r="E59" s="9">
        <v>10980</v>
      </c>
    </row>
    <row r="60" spans="4:5" x14ac:dyDescent="0.35">
      <c r="D60" s="4" t="s">
        <v>146</v>
      </c>
      <c r="E60" s="9">
        <v>16020</v>
      </c>
    </row>
    <row r="61" spans="4:5" x14ac:dyDescent="0.35">
      <c r="D61" s="10" t="s">
        <v>147</v>
      </c>
      <c r="E61" s="9">
        <v>16020</v>
      </c>
    </row>
    <row r="62" spans="4:5" x14ac:dyDescent="0.35">
      <c r="D62" s="4" t="s">
        <v>119</v>
      </c>
      <c r="E62" s="9">
        <v>13860</v>
      </c>
    </row>
    <row r="63" spans="4:5" x14ac:dyDescent="0.35">
      <c r="D63" s="10" t="s">
        <v>120</v>
      </c>
      <c r="E63" s="9">
        <v>13860</v>
      </c>
    </row>
    <row r="64" spans="4:5" x14ac:dyDescent="0.35">
      <c r="D64" s="4" t="s">
        <v>80</v>
      </c>
      <c r="E64" s="9">
        <v>9360</v>
      </c>
    </row>
    <row r="65" spans="4:5" x14ac:dyDescent="0.35">
      <c r="D65" s="10" t="s">
        <v>81</v>
      </c>
      <c r="E65" s="9">
        <v>9360</v>
      </c>
    </row>
    <row r="66" spans="4:5" x14ac:dyDescent="0.35">
      <c r="D66" s="4" t="s">
        <v>77</v>
      </c>
      <c r="E66" s="9">
        <v>6450</v>
      </c>
    </row>
    <row r="67" spans="4:5" x14ac:dyDescent="0.35">
      <c r="D67" s="10" t="s">
        <v>78</v>
      </c>
      <c r="E67" s="9">
        <v>6450</v>
      </c>
    </row>
    <row r="68" spans="4:5" x14ac:dyDescent="0.35">
      <c r="D68" s="4" t="s">
        <v>71</v>
      </c>
      <c r="E68" s="9">
        <v>8730</v>
      </c>
    </row>
    <row r="69" spans="4:5" x14ac:dyDescent="0.35">
      <c r="D69" s="10" t="s">
        <v>72</v>
      </c>
      <c r="E69" s="9">
        <v>8730</v>
      </c>
    </row>
    <row r="70" spans="4:5" x14ac:dyDescent="0.35">
      <c r="D70" s="4" t="s">
        <v>137</v>
      </c>
      <c r="E70" s="9">
        <v>15300</v>
      </c>
    </row>
    <row r="71" spans="4:5" x14ac:dyDescent="0.35">
      <c r="D71" s="10" t="s">
        <v>138</v>
      </c>
      <c r="E71" s="9">
        <v>15300</v>
      </c>
    </row>
    <row r="72" spans="4:5" x14ac:dyDescent="0.35">
      <c r="D72" s="4" t="s">
        <v>113</v>
      </c>
      <c r="E72" s="9">
        <v>8250</v>
      </c>
    </row>
    <row r="73" spans="4:5" x14ac:dyDescent="0.35">
      <c r="D73" s="10" t="s">
        <v>114</v>
      </c>
      <c r="E73" s="9">
        <v>8250</v>
      </c>
    </row>
    <row r="74" spans="4:5" x14ac:dyDescent="0.35">
      <c r="D74" s="4" t="s">
        <v>68</v>
      </c>
      <c r="E74" s="9">
        <v>6000</v>
      </c>
    </row>
    <row r="75" spans="4:5" x14ac:dyDescent="0.35">
      <c r="D75" s="10" t="s">
        <v>69</v>
      </c>
      <c r="E75" s="9">
        <v>6000</v>
      </c>
    </row>
    <row r="76" spans="4:5" x14ac:dyDescent="0.35">
      <c r="D76" s="4" t="s">
        <v>98</v>
      </c>
      <c r="E76" s="9">
        <v>10620</v>
      </c>
    </row>
    <row r="77" spans="4:5" x14ac:dyDescent="0.35">
      <c r="D77" s="10" t="s">
        <v>99</v>
      </c>
      <c r="E77" s="9">
        <v>10620</v>
      </c>
    </row>
    <row r="78" spans="4:5" x14ac:dyDescent="0.35">
      <c r="D78" s="4" t="s">
        <v>65</v>
      </c>
      <c r="E78" s="9">
        <v>9540</v>
      </c>
    </row>
    <row r="79" spans="4:5" x14ac:dyDescent="0.35">
      <c r="D79" s="10" t="s">
        <v>66</v>
      </c>
      <c r="E79" s="9">
        <v>9540</v>
      </c>
    </row>
    <row r="80" spans="4:5" x14ac:dyDescent="0.35">
      <c r="D80" s="4" t="s">
        <v>122</v>
      </c>
      <c r="E80" s="9">
        <v>8700</v>
      </c>
    </row>
    <row r="81" spans="4:5" x14ac:dyDescent="0.35">
      <c r="D81" s="10" t="s">
        <v>123</v>
      </c>
      <c r="E81" s="9">
        <v>8700</v>
      </c>
    </row>
    <row r="82" spans="4:5" x14ac:dyDescent="0.35">
      <c r="D82" s="4" t="s">
        <v>47</v>
      </c>
      <c r="E82" s="9">
        <v>5100</v>
      </c>
    </row>
    <row r="83" spans="4:5" x14ac:dyDescent="0.35">
      <c r="D83" s="10" t="s">
        <v>48</v>
      </c>
      <c r="E83" s="9">
        <v>5100</v>
      </c>
    </row>
    <row r="84" spans="4:5" x14ac:dyDescent="0.35">
      <c r="D84" s="4" t="s">
        <v>131</v>
      </c>
      <c r="E84" s="9">
        <v>9150</v>
      </c>
    </row>
    <row r="85" spans="4:5" x14ac:dyDescent="0.35">
      <c r="D85" s="10" t="s">
        <v>132</v>
      </c>
      <c r="E85" s="9">
        <v>9150</v>
      </c>
    </row>
    <row r="86" spans="4:5" x14ac:dyDescent="0.35">
      <c r="D86" s="4" t="s">
        <v>62</v>
      </c>
      <c r="E86" s="9">
        <v>8100</v>
      </c>
    </row>
    <row r="87" spans="4:5" x14ac:dyDescent="0.35">
      <c r="D87" s="10" t="s">
        <v>63</v>
      </c>
      <c r="E87" s="9">
        <v>8100</v>
      </c>
    </row>
    <row r="88" spans="4:5" x14ac:dyDescent="0.35">
      <c r="D88" s="4" t="s">
        <v>161</v>
      </c>
      <c r="E88" s="9">
        <v>377520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F7DB-8B0A-420E-85E3-4AE3E486F4F7}">
  <dimension ref="A1:X129"/>
  <sheetViews>
    <sheetView zoomScale="29" zoomScaleNormal="29" workbookViewId="0">
      <selection activeCell="AD41" sqref="AD41"/>
    </sheetView>
  </sheetViews>
  <sheetFormatPr baseColWidth="10" defaultRowHeight="14.5" x14ac:dyDescent="0.35"/>
  <sheetData>
    <row r="1" spans="1:24" x14ac:dyDescent="0.35">
      <c r="A1" s="16" cm="1">
        <f t="array" aca="1" ref="A1" ca="1">A1:H22=A1:E22</f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4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4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4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4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4" x14ac:dyDescent="0.3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4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4" x14ac:dyDescent="0.3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4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4" x14ac:dyDescent="0.35">
      <c r="A10" s="16"/>
      <c r="B10" s="1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2"/>
    </row>
    <row r="11" spans="1:24" x14ac:dyDescent="0.35">
      <c r="A11" s="16"/>
      <c r="B11" s="1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4" x14ac:dyDescent="0.35">
      <c r="A12" s="16"/>
      <c r="B12" s="1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4" x14ac:dyDescent="0.35">
      <c r="A13" s="16"/>
      <c r="B13" s="1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4" x14ac:dyDescent="0.35">
      <c r="A14" s="16"/>
      <c r="B14" s="1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4" x14ac:dyDescent="0.35">
      <c r="A15" s="16"/>
      <c r="B15" s="16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4" x14ac:dyDescent="0.35">
      <c r="A16" s="16"/>
      <c r="B16" s="1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x14ac:dyDescent="0.35">
      <c r="A17" s="16"/>
      <c r="B17" s="1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x14ac:dyDescent="0.35">
      <c r="A18" s="16"/>
      <c r="B18" s="16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x14ac:dyDescent="0.35">
      <c r="A19" s="16"/>
      <c r="B19" s="1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x14ac:dyDescent="0.35">
      <c r="A20" s="16"/>
      <c r="B20" s="16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x14ac:dyDescent="0.35">
      <c r="A21" s="16"/>
      <c r="B21" s="1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x14ac:dyDescent="0.35">
      <c r="A22" s="16"/>
      <c r="B22" s="16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x14ac:dyDescent="0.35">
      <c r="A23" s="16"/>
      <c r="B23" s="16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x14ac:dyDescent="0.35">
      <c r="A24" s="16"/>
      <c r="B24" s="16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35">
      <c r="A25" s="17"/>
      <c r="B25" s="17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35">
      <c r="A26" s="17"/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35">
      <c r="A27" s="17"/>
      <c r="B27" s="17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x14ac:dyDescent="0.35">
      <c r="A28" s="17"/>
      <c r="B28" s="17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35">
      <c r="A29" s="17"/>
      <c r="B29" s="17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35">
      <c r="A30" s="17"/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35">
      <c r="A31" s="17"/>
      <c r="B31" s="17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35">
      <c r="A32" s="17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35">
      <c r="A33" s="17"/>
      <c r="B33" s="17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35">
      <c r="A34" s="17"/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35">
      <c r="A35" s="17"/>
      <c r="B35" s="17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35">
      <c r="A36" s="17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35">
      <c r="A37" s="17"/>
      <c r="B37" s="17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35">
      <c r="A38" s="17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35">
      <c r="A39" s="17"/>
      <c r="B39" s="17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x14ac:dyDescent="0.35">
      <c r="A40" s="17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x14ac:dyDescent="0.35">
      <c r="A41" s="17"/>
      <c r="B41" s="17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x14ac:dyDescent="0.35">
      <c r="A42" s="17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x14ac:dyDescent="0.35">
      <c r="A43" s="17"/>
      <c r="B43" s="17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x14ac:dyDescent="0.35">
      <c r="A44" s="17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x14ac:dyDescent="0.35">
      <c r="A45" s="17"/>
      <c r="B45" s="17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x14ac:dyDescent="0.35">
      <c r="A46" s="17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x14ac:dyDescent="0.35">
      <c r="A47" s="17"/>
      <c r="B47" s="17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x14ac:dyDescent="0.35">
      <c r="A48" s="17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x14ac:dyDescent="0.35">
      <c r="A49" s="17"/>
      <c r="B49" s="17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x14ac:dyDescent="0.35">
      <c r="A50" s="17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x14ac:dyDescent="0.35">
      <c r="A51" s="17"/>
      <c r="B51" s="17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x14ac:dyDescent="0.35">
      <c r="A52" s="17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x14ac:dyDescent="0.35">
      <c r="A53" s="17"/>
      <c r="B53" s="17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x14ac:dyDescent="0.35">
      <c r="A54" s="17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x14ac:dyDescent="0.35">
      <c r="A55" s="17"/>
      <c r="B55" s="17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x14ac:dyDescent="0.35">
      <c r="A56" s="17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x14ac:dyDescent="0.35">
      <c r="A57" s="17"/>
      <c r="B57" s="17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x14ac:dyDescent="0.35">
      <c r="A58" s="17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x14ac:dyDescent="0.35">
      <c r="A59" s="17"/>
      <c r="B59" s="17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x14ac:dyDescent="0.35">
      <c r="A60" s="17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x14ac:dyDescent="0.35">
      <c r="A61" s="17"/>
      <c r="B61" s="17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x14ac:dyDescent="0.35">
      <c r="A62" s="17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x14ac:dyDescent="0.35">
      <c r="A63" s="17"/>
      <c r="B63" s="17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x14ac:dyDescent="0.35">
      <c r="A64" s="17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x14ac:dyDescent="0.35">
      <c r="A65" s="17"/>
      <c r="B65" s="17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x14ac:dyDescent="0.35">
      <c r="A66" s="17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x14ac:dyDescent="0.35">
      <c r="A67" s="17"/>
      <c r="B67" s="17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22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22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22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22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22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spans="1:22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22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spans="1:22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spans="1:22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22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22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22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1:16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6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6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spans="1:15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spans="1:15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15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spans="1:15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spans="1:15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topLeftCell="Q1" workbookViewId="0">
      <selection activeCell="X9" sqref="X9"/>
    </sheetView>
  </sheetViews>
  <sheetFormatPr baseColWidth="10" defaultColWidth="8.90625" defaultRowHeight="14.5" x14ac:dyDescent="0.35"/>
  <cols>
    <col min="1" max="1" width="8.453125" bestFit="1" customWidth="1"/>
    <col min="2" max="2" width="11.6328125" style="4" bestFit="1" customWidth="1"/>
    <col min="3" max="3" width="10.08984375" style="4" bestFit="1" customWidth="1"/>
    <col min="4" max="4" width="8.1796875" style="4" bestFit="1" customWidth="1"/>
    <col min="5" max="5" width="10.1796875" style="4" bestFit="1" customWidth="1"/>
    <col min="6" max="6" width="12.81640625" style="4" bestFit="1" customWidth="1"/>
    <col min="7" max="7" width="7.6328125" style="4" bestFit="1" customWidth="1"/>
    <col min="8" max="8" width="14" bestFit="1" customWidth="1"/>
    <col min="9" max="10" width="14.08984375" bestFit="1" customWidth="1"/>
    <col min="11" max="11" width="15.90625" bestFit="1" customWidth="1"/>
    <col min="12" max="12" width="5.90625" bestFit="1" customWidth="1"/>
    <col min="13" max="13" width="10.54296875" bestFit="1" customWidth="1"/>
    <col min="14" max="14" width="11.1796875" bestFit="1" customWidth="1"/>
    <col min="15" max="15" width="14.453125" bestFit="1" customWidth="1"/>
    <col min="16" max="16" width="11.90625" bestFit="1" customWidth="1"/>
    <col min="17" max="17" width="11.54296875" bestFit="1" customWidth="1"/>
    <col min="18" max="18" width="23.36328125" customWidth="1"/>
    <col min="19" max="19" width="18.08984375" customWidth="1"/>
    <col min="20" max="20" width="12.7265625" customWidth="1"/>
    <col min="24" max="24" width="12.36328125" customWidth="1"/>
    <col min="25" max="25" width="13" customWidth="1"/>
    <col min="26" max="26" width="14.453125" customWidth="1"/>
  </cols>
  <sheetData>
    <row r="1" spans="1:26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 t="s">
        <v>155</v>
      </c>
      <c r="S1" s="7" t="s">
        <v>156</v>
      </c>
      <c r="T1" s="7" t="s">
        <v>157</v>
      </c>
    </row>
    <row r="2" spans="1:26" x14ac:dyDescent="0.35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1">
        <f>IF(F2="Moto",0.05, IF(F2="Voiture",0.03, IF(F2="Camion",0.06, "")))</f>
        <v>0.05</v>
      </c>
      <c r="O2" s="1">
        <f>I2*N2</f>
        <v>4650</v>
      </c>
      <c r="P2" s="1">
        <f>M2+O2</f>
        <v>6210</v>
      </c>
      <c r="Q2" s="1" t="str">
        <f>IF(P2&lt;2000,"Standard", IF(P2&lt;5000,"Premium", "VIP"))</f>
        <v>VIP</v>
      </c>
      <c r="R2">
        <f>COUNTIF(J:J, "Tous Risques")</f>
        <v>13</v>
      </c>
      <c r="S2">
        <f>COUNTIF(F:F, "Voiture")</f>
        <v>13</v>
      </c>
      <c r="T2">
        <f>RANK(P2, $P$2:$P$41, 0)</f>
        <v>36</v>
      </c>
    </row>
    <row r="3" spans="1:26" x14ac:dyDescent="0.35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1">
        <f t="shared" ref="N3:N41" si="0">IF(F3="Moto",0.05, IF(F3="Voiture",0.03, IF(F3="Camion",0.06, "")))</f>
        <v>0.06</v>
      </c>
      <c r="O3" s="1">
        <f t="shared" ref="O3:O41" si="1">I3*N3</f>
        <v>5760</v>
      </c>
      <c r="P3" s="1">
        <f t="shared" ref="P3:P41" si="2">M3+O3</f>
        <v>7380</v>
      </c>
      <c r="Q3" s="1" t="str">
        <f t="shared" ref="Q3:Q41" si="3">IF(P3&lt;2000,"Standard", IF(P3&lt;5000,"Premium", "VIP"))</f>
        <v>VIP</v>
      </c>
      <c r="T3">
        <f t="shared" ref="T3:T41" si="4">RANK(P3, $P$2:$P$41, 0)</f>
        <v>31</v>
      </c>
    </row>
    <row r="4" spans="1:26" x14ac:dyDescent="0.35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1">
        <f t="shared" si="0"/>
        <v>0.03</v>
      </c>
      <c r="O4" s="1">
        <f t="shared" si="1"/>
        <v>2970</v>
      </c>
      <c r="P4" s="1">
        <f t="shared" si="2"/>
        <v>4650</v>
      </c>
      <c r="Q4" s="1" t="str">
        <f t="shared" si="3"/>
        <v>Premium</v>
      </c>
      <c r="T4">
        <f t="shared" si="4"/>
        <v>40</v>
      </c>
    </row>
    <row r="5" spans="1:26" x14ac:dyDescent="0.35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1">
        <f t="shared" si="0"/>
        <v>0.05</v>
      </c>
      <c r="O5" s="1">
        <f t="shared" si="1"/>
        <v>5100</v>
      </c>
      <c r="P5" s="1">
        <f t="shared" si="2"/>
        <v>6840</v>
      </c>
      <c r="Q5" s="1" t="str">
        <f t="shared" si="3"/>
        <v>VIP</v>
      </c>
      <c r="T5">
        <f t="shared" si="4"/>
        <v>34</v>
      </c>
    </row>
    <row r="6" spans="1:26" x14ac:dyDescent="0.35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1">
        <f t="shared" si="0"/>
        <v>0.06</v>
      </c>
      <c r="O6" s="1">
        <f t="shared" si="1"/>
        <v>6300</v>
      </c>
      <c r="P6" s="1">
        <f t="shared" si="2"/>
        <v>8100</v>
      </c>
      <c r="Q6" s="1" t="str">
        <f t="shared" si="3"/>
        <v>VIP</v>
      </c>
      <c r="T6">
        <f t="shared" si="4"/>
        <v>27</v>
      </c>
    </row>
    <row r="7" spans="1:26" x14ac:dyDescent="0.35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1">
        <f t="shared" si="0"/>
        <v>0.03</v>
      </c>
      <c r="O7" s="1">
        <f t="shared" si="1"/>
        <v>3240</v>
      </c>
      <c r="P7" s="1">
        <f t="shared" si="2"/>
        <v>5100</v>
      </c>
      <c r="Q7" s="1" t="str">
        <f t="shared" si="3"/>
        <v>VIP</v>
      </c>
      <c r="T7">
        <f t="shared" si="4"/>
        <v>39</v>
      </c>
      <c r="X7" t="s">
        <v>158</v>
      </c>
      <c r="Y7" t="s">
        <v>159</v>
      </c>
      <c r="Z7" t="s">
        <v>160</v>
      </c>
    </row>
    <row r="8" spans="1:26" x14ac:dyDescent="0.35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1">
        <f t="shared" si="0"/>
        <v>0.05</v>
      </c>
      <c r="O8" s="1">
        <f t="shared" si="1"/>
        <v>5550</v>
      </c>
      <c r="P8" s="1">
        <f t="shared" si="2"/>
        <v>7470</v>
      </c>
      <c r="Q8" s="1" t="str">
        <f t="shared" si="3"/>
        <v>VIP</v>
      </c>
      <c r="T8">
        <f t="shared" si="4"/>
        <v>30</v>
      </c>
      <c r="X8">
        <v>3</v>
      </c>
      <c r="Y8" t="str">
        <f>INDEX($B$3:$B$41, MATCH($T$3, $A$2:$A$41, 0))</f>
        <v>El Hachimi</v>
      </c>
      <c r="Z8">
        <f>INDEX($P$3:$P$41, MATCH($T$3, $A$2:$A$41, 0))</f>
        <v>14580</v>
      </c>
    </row>
    <row r="9" spans="1:26" x14ac:dyDescent="0.35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1">
        <f t="shared" si="0"/>
        <v>0.06</v>
      </c>
      <c r="O9" s="1">
        <f t="shared" si="1"/>
        <v>6840</v>
      </c>
      <c r="P9" s="1">
        <f t="shared" si="2"/>
        <v>8820</v>
      </c>
      <c r="Q9" s="1" t="str">
        <f t="shared" si="3"/>
        <v>VIP</v>
      </c>
      <c r="T9">
        <f t="shared" si="4"/>
        <v>23</v>
      </c>
    </row>
    <row r="10" spans="1:26" x14ac:dyDescent="0.35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1">
        <f t="shared" si="0"/>
        <v>0.03</v>
      </c>
      <c r="O10" s="1">
        <f t="shared" si="1"/>
        <v>3510</v>
      </c>
      <c r="P10" s="1">
        <f t="shared" si="2"/>
        <v>5550</v>
      </c>
      <c r="Q10" s="1" t="str">
        <f t="shared" si="3"/>
        <v>VIP</v>
      </c>
      <c r="T10">
        <f t="shared" si="4"/>
        <v>38</v>
      </c>
    </row>
    <row r="11" spans="1:26" x14ac:dyDescent="0.35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1">
        <f t="shared" si="0"/>
        <v>0.05</v>
      </c>
      <c r="O11" s="1">
        <f t="shared" si="1"/>
        <v>6000</v>
      </c>
      <c r="P11" s="1">
        <f t="shared" si="2"/>
        <v>8100</v>
      </c>
      <c r="Q11" s="1" t="str">
        <f t="shared" si="3"/>
        <v>VIP</v>
      </c>
      <c r="T11">
        <f t="shared" si="4"/>
        <v>27</v>
      </c>
    </row>
    <row r="12" spans="1:26" x14ac:dyDescent="0.35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1">
        <f t="shared" si="0"/>
        <v>0.06</v>
      </c>
      <c r="O12" s="1">
        <f t="shared" si="1"/>
        <v>7380</v>
      </c>
      <c r="P12" s="1">
        <f t="shared" si="2"/>
        <v>9540</v>
      </c>
      <c r="Q12" s="1" t="str">
        <f t="shared" si="3"/>
        <v>VIP</v>
      </c>
      <c r="T12">
        <f t="shared" si="4"/>
        <v>20</v>
      </c>
    </row>
    <row r="13" spans="1:26" x14ac:dyDescent="0.35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1">
        <f t="shared" si="0"/>
        <v>0.03</v>
      </c>
      <c r="O13" s="1">
        <f t="shared" si="1"/>
        <v>3780</v>
      </c>
      <c r="P13" s="1">
        <f t="shared" si="2"/>
        <v>6000</v>
      </c>
      <c r="Q13" s="1" t="str">
        <f t="shared" si="3"/>
        <v>VIP</v>
      </c>
      <c r="T13">
        <f t="shared" si="4"/>
        <v>37</v>
      </c>
    </row>
    <row r="14" spans="1:26" x14ac:dyDescent="0.35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1">
        <f t="shared" si="0"/>
        <v>0.05</v>
      </c>
      <c r="O14" s="1">
        <f t="shared" si="1"/>
        <v>6450</v>
      </c>
      <c r="P14" s="1">
        <f t="shared" si="2"/>
        <v>8730</v>
      </c>
      <c r="Q14" s="1" t="str">
        <f t="shared" si="3"/>
        <v>VIP</v>
      </c>
      <c r="T14">
        <f t="shared" si="4"/>
        <v>24</v>
      </c>
    </row>
    <row r="15" spans="1:26" x14ac:dyDescent="0.35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1">
        <f t="shared" si="0"/>
        <v>0.06</v>
      </c>
      <c r="O15" s="1">
        <f t="shared" si="1"/>
        <v>7920</v>
      </c>
      <c r="P15" s="1">
        <f t="shared" si="2"/>
        <v>10260</v>
      </c>
      <c r="Q15" s="1" t="str">
        <f t="shared" si="3"/>
        <v>VIP</v>
      </c>
      <c r="T15">
        <f t="shared" si="4"/>
        <v>16</v>
      </c>
    </row>
    <row r="16" spans="1:26" x14ac:dyDescent="0.35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1">
        <f t="shared" si="0"/>
        <v>0.03</v>
      </c>
      <c r="O16" s="1">
        <f t="shared" si="1"/>
        <v>4050</v>
      </c>
      <c r="P16" s="1">
        <f t="shared" si="2"/>
        <v>6450</v>
      </c>
      <c r="Q16" s="1" t="str">
        <f t="shared" si="3"/>
        <v>VIP</v>
      </c>
      <c r="T16">
        <f t="shared" si="4"/>
        <v>35</v>
      </c>
    </row>
    <row r="17" spans="1:20" x14ac:dyDescent="0.35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1">
        <f t="shared" si="0"/>
        <v>0.05</v>
      </c>
      <c r="O17" s="1">
        <f t="shared" si="1"/>
        <v>6900</v>
      </c>
      <c r="P17" s="1">
        <f t="shared" si="2"/>
        <v>9360</v>
      </c>
      <c r="Q17" s="1" t="str">
        <f t="shared" si="3"/>
        <v>VIP</v>
      </c>
      <c r="T17">
        <f t="shared" si="4"/>
        <v>21</v>
      </c>
    </row>
    <row r="18" spans="1:20" x14ac:dyDescent="0.35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1">
        <f t="shared" si="0"/>
        <v>0.06</v>
      </c>
      <c r="O18" s="1">
        <f t="shared" si="1"/>
        <v>8460</v>
      </c>
      <c r="P18" s="1">
        <f t="shared" si="2"/>
        <v>10980</v>
      </c>
      <c r="Q18" s="1" t="str">
        <f t="shared" si="3"/>
        <v>VIP</v>
      </c>
      <c r="T18">
        <f t="shared" si="4"/>
        <v>14</v>
      </c>
    </row>
    <row r="19" spans="1:20" x14ac:dyDescent="0.35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1">
        <f t="shared" si="0"/>
        <v>0.03</v>
      </c>
      <c r="O19" s="1">
        <f t="shared" si="1"/>
        <v>4320</v>
      </c>
      <c r="P19" s="1">
        <f t="shared" si="2"/>
        <v>6900</v>
      </c>
      <c r="Q19" s="1" t="str">
        <f t="shared" si="3"/>
        <v>VIP</v>
      </c>
      <c r="T19">
        <f t="shared" si="4"/>
        <v>33</v>
      </c>
    </row>
    <row r="20" spans="1:20" x14ac:dyDescent="0.35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1">
        <f t="shared" si="0"/>
        <v>0.05</v>
      </c>
      <c r="O20" s="1">
        <f t="shared" si="1"/>
        <v>7350</v>
      </c>
      <c r="P20" s="1">
        <f t="shared" si="2"/>
        <v>9990</v>
      </c>
      <c r="Q20" s="1" t="str">
        <f t="shared" si="3"/>
        <v>VIP</v>
      </c>
      <c r="T20">
        <f t="shared" si="4"/>
        <v>18</v>
      </c>
    </row>
    <row r="21" spans="1:20" x14ac:dyDescent="0.35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1">
        <f t="shared" si="0"/>
        <v>0.06</v>
      </c>
      <c r="O21" s="1">
        <f t="shared" si="1"/>
        <v>9000</v>
      </c>
      <c r="P21" s="1">
        <f t="shared" si="2"/>
        <v>11700</v>
      </c>
      <c r="Q21" s="1" t="str">
        <f t="shared" si="3"/>
        <v>VIP</v>
      </c>
      <c r="T21">
        <f t="shared" si="4"/>
        <v>12</v>
      </c>
    </row>
    <row r="22" spans="1:20" x14ac:dyDescent="0.35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1">
        <f t="shared" si="0"/>
        <v>0.03</v>
      </c>
      <c r="O22" s="1">
        <f t="shared" si="1"/>
        <v>4590</v>
      </c>
      <c r="P22" s="1">
        <f t="shared" si="2"/>
        <v>7350</v>
      </c>
      <c r="Q22" s="1" t="str">
        <f t="shared" si="3"/>
        <v>VIP</v>
      </c>
      <c r="T22">
        <f t="shared" si="4"/>
        <v>32</v>
      </c>
    </row>
    <row r="23" spans="1:20" x14ac:dyDescent="0.35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1">
        <f t="shared" si="0"/>
        <v>0.05</v>
      </c>
      <c r="O23" s="1">
        <f t="shared" si="1"/>
        <v>7800</v>
      </c>
      <c r="P23" s="1">
        <f t="shared" si="2"/>
        <v>10620</v>
      </c>
      <c r="Q23" s="1" t="str">
        <f t="shared" si="3"/>
        <v>VIP</v>
      </c>
      <c r="T23">
        <f t="shared" si="4"/>
        <v>15</v>
      </c>
    </row>
    <row r="24" spans="1:20" x14ac:dyDescent="0.35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1">
        <f t="shared" si="0"/>
        <v>0.06</v>
      </c>
      <c r="O24" s="1">
        <f t="shared" si="1"/>
        <v>9540</v>
      </c>
      <c r="P24" s="1">
        <f t="shared" si="2"/>
        <v>12420</v>
      </c>
      <c r="Q24" s="1" t="str">
        <f t="shared" si="3"/>
        <v>VIP</v>
      </c>
      <c r="T24">
        <f t="shared" si="4"/>
        <v>10</v>
      </c>
    </row>
    <row r="25" spans="1:20" x14ac:dyDescent="0.35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1">
        <f t="shared" si="0"/>
        <v>0.03</v>
      </c>
      <c r="O25" s="1">
        <f t="shared" si="1"/>
        <v>4860</v>
      </c>
      <c r="P25" s="1">
        <f t="shared" si="2"/>
        <v>7800</v>
      </c>
      <c r="Q25" s="1" t="str">
        <f t="shared" si="3"/>
        <v>VIP</v>
      </c>
      <c r="T25">
        <f t="shared" si="4"/>
        <v>29</v>
      </c>
    </row>
    <row r="26" spans="1:20" x14ac:dyDescent="0.35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1">
        <f t="shared" si="0"/>
        <v>0.05</v>
      </c>
      <c r="O26" s="1">
        <f t="shared" si="1"/>
        <v>8250</v>
      </c>
      <c r="P26" s="1">
        <f t="shared" si="2"/>
        <v>11250</v>
      </c>
      <c r="Q26" s="1" t="str">
        <f t="shared" si="3"/>
        <v>VIP</v>
      </c>
      <c r="T26">
        <f t="shared" si="4"/>
        <v>13</v>
      </c>
    </row>
    <row r="27" spans="1:20" x14ac:dyDescent="0.35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1">
        <f t="shared" si="0"/>
        <v>0.06</v>
      </c>
      <c r="O27" s="1">
        <f t="shared" si="1"/>
        <v>10080</v>
      </c>
      <c r="P27" s="1">
        <f t="shared" si="2"/>
        <v>13140</v>
      </c>
      <c r="Q27" s="1" t="str">
        <f t="shared" si="3"/>
        <v>VIP</v>
      </c>
      <c r="T27">
        <f t="shared" si="4"/>
        <v>7</v>
      </c>
    </row>
    <row r="28" spans="1:20" x14ac:dyDescent="0.35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1">
        <f t="shared" si="0"/>
        <v>0.03</v>
      </c>
      <c r="O28" s="1">
        <f t="shared" si="1"/>
        <v>5130</v>
      </c>
      <c r="P28" s="1">
        <f t="shared" si="2"/>
        <v>8250</v>
      </c>
      <c r="Q28" s="1" t="str">
        <f t="shared" si="3"/>
        <v>VIP</v>
      </c>
      <c r="T28">
        <f t="shared" si="4"/>
        <v>26</v>
      </c>
    </row>
    <row r="29" spans="1:20" x14ac:dyDescent="0.35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1">
        <f t="shared" si="0"/>
        <v>0.05</v>
      </c>
      <c r="O29" s="1">
        <f t="shared" si="1"/>
        <v>8700</v>
      </c>
      <c r="P29" s="1">
        <f t="shared" si="2"/>
        <v>11880</v>
      </c>
      <c r="Q29" s="1" t="str">
        <f t="shared" si="3"/>
        <v>VIP</v>
      </c>
      <c r="T29">
        <f t="shared" si="4"/>
        <v>11</v>
      </c>
    </row>
    <row r="30" spans="1:20" x14ac:dyDescent="0.35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1">
        <f t="shared" si="0"/>
        <v>0.06</v>
      </c>
      <c r="O30" s="1">
        <f t="shared" si="1"/>
        <v>10620</v>
      </c>
      <c r="P30" s="1">
        <f t="shared" si="2"/>
        <v>13860</v>
      </c>
      <c r="Q30" s="1" t="str">
        <f t="shared" si="3"/>
        <v>VIP</v>
      </c>
      <c r="T30">
        <f t="shared" si="4"/>
        <v>5</v>
      </c>
    </row>
    <row r="31" spans="1:20" x14ac:dyDescent="0.35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1">
        <f t="shared" si="0"/>
        <v>0.03</v>
      </c>
      <c r="O31" s="1">
        <f t="shared" si="1"/>
        <v>5400</v>
      </c>
      <c r="P31" s="1">
        <f t="shared" si="2"/>
        <v>8700</v>
      </c>
      <c r="Q31" s="1" t="str">
        <f t="shared" si="3"/>
        <v>VIP</v>
      </c>
      <c r="T31">
        <f t="shared" si="4"/>
        <v>25</v>
      </c>
    </row>
    <row r="32" spans="1:20" x14ac:dyDescent="0.35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1">
        <f t="shared" si="0"/>
        <v>0.05</v>
      </c>
      <c r="O32" s="1">
        <f t="shared" si="1"/>
        <v>9150</v>
      </c>
      <c r="P32" s="1">
        <f t="shared" si="2"/>
        <v>12510</v>
      </c>
      <c r="Q32" s="1" t="str">
        <f t="shared" si="3"/>
        <v>VIP</v>
      </c>
      <c r="T32">
        <f t="shared" si="4"/>
        <v>9</v>
      </c>
    </row>
    <row r="33" spans="1:20" x14ac:dyDescent="0.35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1">
        <f t="shared" si="0"/>
        <v>0.06</v>
      </c>
      <c r="O33" s="1">
        <f t="shared" si="1"/>
        <v>11160</v>
      </c>
      <c r="P33" s="1">
        <f t="shared" si="2"/>
        <v>14580</v>
      </c>
      <c r="Q33" s="1" t="str">
        <f t="shared" si="3"/>
        <v>VIP</v>
      </c>
      <c r="T33">
        <f t="shared" si="4"/>
        <v>3</v>
      </c>
    </row>
    <row r="34" spans="1:20" x14ac:dyDescent="0.35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1">
        <f t="shared" si="0"/>
        <v>0.03</v>
      </c>
      <c r="O34" s="1">
        <f t="shared" si="1"/>
        <v>5670</v>
      </c>
      <c r="P34" s="1">
        <f t="shared" si="2"/>
        <v>9150</v>
      </c>
      <c r="Q34" s="1" t="str">
        <f t="shared" si="3"/>
        <v>VIP</v>
      </c>
      <c r="T34">
        <f t="shared" si="4"/>
        <v>22</v>
      </c>
    </row>
    <row r="35" spans="1:20" x14ac:dyDescent="0.35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1">
        <f t="shared" si="0"/>
        <v>0.05</v>
      </c>
      <c r="O35" s="1">
        <f t="shared" si="1"/>
        <v>9600</v>
      </c>
      <c r="P35" s="1">
        <f t="shared" si="2"/>
        <v>13140</v>
      </c>
      <c r="Q35" s="1" t="str">
        <f t="shared" si="3"/>
        <v>VIP</v>
      </c>
      <c r="T35">
        <f t="shared" si="4"/>
        <v>7</v>
      </c>
    </row>
    <row r="36" spans="1:20" x14ac:dyDescent="0.35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1">
        <f t="shared" si="0"/>
        <v>0.06</v>
      </c>
      <c r="O36" s="1">
        <f t="shared" si="1"/>
        <v>11700</v>
      </c>
      <c r="P36" s="1">
        <f t="shared" si="2"/>
        <v>15300</v>
      </c>
      <c r="Q36" s="1" t="str">
        <f t="shared" si="3"/>
        <v>VIP</v>
      </c>
      <c r="T36">
        <f t="shared" si="4"/>
        <v>2</v>
      </c>
    </row>
    <row r="37" spans="1:20" x14ac:dyDescent="0.35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1">
        <f t="shared" si="0"/>
        <v>0.03</v>
      </c>
      <c r="O37" s="1">
        <f t="shared" si="1"/>
        <v>5940</v>
      </c>
      <c r="P37" s="1">
        <f t="shared" si="2"/>
        <v>9600</v>
      </c>
      <c r="Q37" s="1" t="str">
        <f t="shared" si="3"/>
        <v>VIP</v>
      </c>
      <c r="T37">
        <f t="shared" si="4"/>
        <v>19</v>
      </c>
    </row>
    <row r="38" spans="1:20" x14ac:dyDescent="0.35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1">
        <f t="shared" si="0"/>
        <v>0.05</v>
      </c>
      <c r="O38" s="1">
        <f t="shared" si="1"/>
        <v>10050</v>
      </c>
      <c r="P38" s="1">
        <f t="shared" si="2"/>
        <v>13770</v>
      </c>
      <c r="Q38" s="1" t="str">
        <f t="shared" si="3"/>
        <v>VIP</v>
      </c>
      <c r="T38">
        <f t="shared" si="4"/>
        <v>6</v>
      </c>
    </row>
    <row r="39" spans="1:20" x14ac:dyDescent="0.35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1">
        <f t="shared" si="0"/>
        <v>0.06</v>
      </c>
      <c r="O39" s="1">
        <f t="shared" si="1"/>
        <v>12240</v>
      </c>
      <c r="P39" s="1">
        <f t="shared" si="2"/>
        <v>16020</v>
      </c>
      <c r="Q39" s="1" t="str">
        <f t="shared" si="3"/>
        <v>VIP</v>
      </c>
      <c r="T39">
        <f t="shared" si="4"/>
        <v>1</v>
      </c>
    </row>
    <row r="40" spans="1:20" x14ac:dyDescent="0.35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1">
        <f t="shared" si="0"/>
        <v>0.03</v>
      </c>
      <c r="O40" s="1">
        <f t="shared" si="1"/>
        <v>6210</v>
      </c>
      <c r="P40" s="1">
        <f t="shared" si="2"/>
        <v>10050</v>
      </c>
      <c r="Q40" s="1" t="str">
        <f t="shared" si="3"/>
        <v>VIP</v>
      </c>
      <c r="T40">
        <f t="shared" si="4"/>
        <v>17</v>
      </c>
    </row>
    <row r="41" spans="1:20" x14ac:dyDescent="0.35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1">
        <f t="shared" si="0"/>
        <v>0.05</v>
      </c>
      <c r="O41" s="1">
        <f t="shared" si="1"/>
        <v>10500</v>
      </c>
      <c r="P41" s="1">
        <f t="shared" si="2"/>
        <v>14400</v>
      </c>
      <c r="Q41" s="1" t="str">
        <f t="shared" si="3"/>
        <v>VIP</v>
      </c>
      <c r="T41">
        <f t="shared" si="4"/>
        <v>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Backend (Traitement)</vt:lpstr>
      <vt:lpstr>frontend (Dashboard)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elaallaouinazha@gmail.com</cp:lastModifiedBy>
  <dcterms:created xsi:type="dcterms:W3CDTF">2025-12-28T12:53:27Z</dcterms:created>
  <dcterms:modified xsi:type="dcterms:W3CDTF">2025-12-30T23:03:32Z</dcterms:modified>
</cp:coreProperties>
</file>